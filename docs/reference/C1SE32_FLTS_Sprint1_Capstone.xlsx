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62134666d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4" r:id="Rbb5ad57e358c4eb7"/>
    <x:sheet xmlns:r="http://schemas.openxmlformats.org/officeDocument/2006/relationships" name="Actual" sheetId="5" r:id="R096cea0ec8df4c4e"/>
    <x:sheet xmlns:r="http://schemas.openxmlformats.org/officeDocument/2006/relationships" name="Chart" sheetId="6" r:id="R5e10334b925344e4"/>
  </x:sheets>
</x:workbook>
</file>

<file path=xl/sharedStrings.xml><?xml version="1.0" encoding="utf-8"?>
<x:sst xmlns:x="http://schemas.openxmlformats.org/spreadsheetml/2006/main">
  <x:si>
    <x:t xml:space="preserve">Project Name:</x:t>
  </x:si>
  <x:si>
    <x:t xml:space="preserve">Module Name:</x:t>
  </x:si>
  <x:si>
    <x:t xml:space="preserve">Development Team:</x:t>
  </x:si>
  <x:si>
    <x:t xml:space="preserve">Start Date: </x:t>
  </x:si>
  <x:si>
    <x:t xml:space="preserve">End Date:</x:t>
  </x:si>
  <x:si>
    <x:t xml:space="preserve">On Time</x:t>
  </x:si>
  <x:si>
    <x:t xml:space="preserve">No.</x:t>
  </x:si>
  <x:si>
    <x:t xml:space="preserve">Member Name</x:t>
  </x:si>
  <x:si>
    <x:t xml:space="preserve">Estimate</x:t>
  </x:si>
  <x:si>
    <x:t xml:space="preserve">Lately</x:t>
  </x:si>
  <x:si>
    <x:t xml:space="preserve">Early</x:t>
  </x:si>
  <x:si>
    <x:t xml:space="preserve">Unfinished</x:t>
  </x:si>
  <x:si>
    <x:t xml:space="preserve">PB ID</x:t>
  </x:si>
  <x:si>
    <x:t xml:space="preserve">Task Description</x:t>
  </x:si>
  <x:si>
    <x:t xml:space="preserve">Responsible Member</x:t>
  </x:si>
  <x:si>
    <x:t xml:space="preserve">TOTAL</x:t>
  </x:si>
  <x:si>
    <x:t xml:space="preserve">Actual</x:t>
  </x:si>
  <x:si>
    <x:t xml:space="preserve">Date</x:t>
  </x:si>
  <x:si>
    <x:t xml:space="preserve">Planned Remaining</x:t>
  </x:si>
  <x:si>
    <x:t xml:space="preserve">Actual Remaining</x:t>
  </x:si>
  <x:si>
    <x:t xml:space="preserve">Ideal Remaining</x:t>
  </x:si>
  <x:si>
    <x:t xml:space="preserve">Planned Completed</x:t>
  </x:si>
  <x:si>
    <x:t xml:space="preserve">Actual Completed</x:t>
  </x:si>
  <x:si>
    <x:t xml:space="preserve">Total Scope</x:t>
  </x:si>
</x:sst>
</file>

<file path=xl/styles.xml><?xml version="1.0" encoding="utf-8"?>
<x:styleSheet xmlns:x="http://schemas.openxmlformats.org/spreadsheetml/2006/main">
  <x:numFmts count="3">
    <x:numFmt numFmtId="164" formatCode="dd/mm/yyyy"/>
    <x:numFmt numFmtId="165" formatCode="dd\-mmm"/>
    <x:numFmt numFmtId="200" formatCode="0"/>
  </x:numFmts>
  <x:fonts count="23">
    <x:font>
      <x:sz val="11"/>
      <x:color theme="1"/>
      <x:name val="Arial"/>
    </x:font>
    <x:font>
      <x:sz val="11"/>
      <x:color theme="1"/>
      <x:name val="Calibri"/>
    </x:font>
    <x:font>
      <x:b/>
      <x:sz val="13"/>
      <x:color theme="1"/>
      <x:name val="Times New Roman"/>
    </x:font>
    <x:font>
      <x:sz val="11"/>
      <x:name val="Arial"/>
    </x:font>
    <x:font>
      <x:sz val="13"/>
      <x:color rgb="FF000000"/>
      <x:name val="Times New Roman"/>
    </x:font>
    <x:font>
      <x:sz val="13"/>
      <x:color theme="1"/>
      <x:name val="Times New Roman"/>
    </x:font>
    <x:font>
      <x:b/>
      <x:sz val="13"/>
      <x:color rgb="FF000000"/>
      <x:name val="Times New Roman"/>
    </x:font>
    <x:font>
      <x:sz val="13"/>
      <x:color theme="1"/>
      <x:name val="Calibri"/>
    </x:font>
    <x:font>
      <x:sz val="13"/>
      <x:color rgb="FF0070C0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4"/>
      <x:color theme="1"/>
      <x:name val="Arial"/>
    </x:font>
    <x:font>
      <x:sz val="13"/>
      <x:color theme="1"/>
      <x:name val="Arial"/>
    </x:font>
    <x:font>
      <x:b/>
      <x:sz val="14"/>
      <x:color rgb="FF000000"/>
      <x:name val="Arial"/>
    </x:font>
    <x:font>
      <x:b/>
      <x:sz val="13"/>
      <x:color rgb="FFFFFFFF"/>
      <x:name val="Arial"/>
    </x:font>
    <x:font>
      <x:b/>
      <x:sz val="11"/>
      <x:color rgb="FFFFFFFF"/>
      <x:name val="Arial"/>
    </x:font>
    <x:font>
      <x:sz val="13"/>
      <x:color rgb="FF000000"/>
      <x:name val="Times New Roman"/>
    </x:font>
    <x:font>
      <x:b/>
      <x:sz val="13"/>
      <x:name val="Times New Roman"/>
    </x:font>
    <x:font>
      <x:sz val="13"/>
      <x:color theme="1"/>
      <x:name val="Times New Roman"/>
    </x:font>
    <x:font>
      <x:b/>
      <x:sz val="13"/>
      <x:color theme="1"/>
      <x:name val="Times New Roman"/>
    </x:font>
    <x:font>
      <x:b/>
      <x:sz val="13"/>
      <x:color rgb="FF000000"/>
      <x:name val="Times New Roman"/>
    </x:font>
    <x:font>
      <x:sz val="13"/>
      <x:name val="Times New Roman"/>
    </x:font>
    <x:font>
      <x:sz val="13"/>
      <x:color theme="1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BDD6EE"/>
      </x:patternFill>
    </x:fill>
    <x:fill>
      <x:patternFill patternType="solid">
        <x:fgColor rgb="FFBFBFBF"/>
      </x:patternFill>
    </x:fill>
    <x:fill>
      <x:patternFill patternType="solid">
        <x:fgColor theme="4" tint="0.39998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0070C0"/>
      </x:patternFill>
    </x:fill>
    <x:fill>
      <x:patternFill patternType="solid">
        <x:fgColor theme="4" tint="0.39998"/>
      </x:patternFill>
    </x:fill>
    <x:fill>
      <x:patternFill patternType="solid">
        <x:fgColor theme="5" tint="0.5999"/>
      </x:patternFill>
    </x:fill>
    <x:fill>
      <x:patternFill patternType="solid">
        <x:fgColor theme="4" tint="0.39998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</x:border>
    <x:border>
      <x:right style="thin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top style="thin">
        <x:color rgb="FF000000"/>
      </x:top>
      <x:bottom style="thin">
        <x:color rgb="FF000000"/>
      </x:bottom>
    </x:border>
    <x:border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top style="thin">
        <x:color rgb="FF000000"/>
      </x:top>
      <x:bottom style="medium">
        <x:color indexed="64"/>
      </x:bottom>
    </x:border>
    <x:border>
      <x:top style="thin">
        <x:color rgb="FF000000"/>
      </x:top>
      <x:bottom style="medium">
        <x:color indexed="64"/>
      </x:bottom>
    </x:border>
    <x:border>
      <x:right style="medium">
        <x:color indexed="64"/>
      </x:right>
      <x:top style="thin">
        <x:color rgb="FF000000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2">
    <x:xf numFmtId="0" fontId="0" fillId="0" borderId="0"/>
    <x:xf numFmtId="0" fontId="1" fillId="10" borderId="0" applyNumberFormat="0" applyBorder="0" applyAlignment="0" applyProtection="0"/>
  </x:cellStyleXfs>
  <x:cellXfs count="121">
    <x:xf numFmtId="0" fontId="0" fillId="0" borderId="0" xfId="0"/>
    <x:xf numFmtId="0" fontId="2" fillId="0" borderId="3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4" fillId="0" borderId="3" xfId="0" applyFont="1" applyBorder="1" applyAlignment="1">
      <x:alignment horizontal="center"/>
    </x:xf>
    <x:xf numFmtId="0" fontId="5" fillId="0" borderId="3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 vertical="center" wrapText="1"/>
    </x:xf>
    <x:xf numFmtId="0" fontId="4" fillId="0" borderId="4" xfId="0" applyFont="1" applyBorder="1" applyAlignment="1">
      <x:alignment horizontal="center"/>
    </x:xf>
    <x:xf numFmtId="0" fontId="4" fillId="0" borderId="5" xfId="0" applyFont="1" applyBorder="1" applyAlignment="1">
      <x:alignment horizontal="center"/>
    </x:xf>
    <x:xf numFmtId="0" fontId="4" fillId="0" borderId="3" xfId="0" applyFont="1" applyBorder="1" applyAlignment="1">
      <x:alignment horizontal="center" wrapText="1"/>
    </x:xf>
    <x:xf numFmtId="0" fontId="7" fillId="0" borderId="0" xfId="0" applyFont="1" applyAlignment="1">
      <x:alignment horizontal="center"/>
    </x:xf>
    <x:xf numFmtId="0" fontId="7" fillId="0" borderId="0" xfId="0" applyFont="1"/>
    <x:xf numFmtId="0" fontId="4" fillId="0" borderId="1" xfId="0" applyFont="1" applyBorder="1" applyAlignment="1">
      <x:alignment horizontal="center" wrapText="1"/>
    </x:xf>
    <x:xf numFmtId="0" fontId="4" fillId="0" borderId="1" xfId="0" applyFont="1" applyBorder="1" applyAlignment="1">
      <x:alignment horizontal="center"/>
    </x:xf>
    <x:xf numFmtId="0" fontId="6" fillId="0" borderId="14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/>
    </x:xf>
    <x:xf numFmtId="0" fontId="2" fillId="4" borderId="10" xfId="0" applyFont="1" applyFill="1" applyBorder="1" applyAlignment="1">
      <x:alignment horizontal="center"/>
    </x:xf>
    <x:xf numFmtId="0" fontId="2" fillId="4" borderId="13" xfId="0" applyFont="1" applyFill="1" applyBorder="1" applyAlignment="1">
      <x:alignment horizontal="center"/>
    </x:xf>
    <x:xf numFmtId="0" fontId="4" fillId="2" borderId="16" xfId="0" applyFont="1" applyFill="1" applyBorder="1" applyAlignment="1">
      <x:alignment vertical="center" wrapText="1"/>
    </x:xf>
    <x:xf numFmtId="0" fontId="4" fillId="7" borderId="19" xfId="0" applyFont="1" applyFill="1" applyBorder="1" applyAlignment="1">
      <x:alignment vertical="center" wrapText="1"/>
    </x:xf>
    <x:xf numFmtId="0" fontId="4" fillId="8" borderId="19" xfId="0" applyFont="1" applyFill="1" applyBorder="1" applyAlignment="1">
      <x:alignment vertical="center" wrapText="1"/>
    </x:xf>
    <x:xf numFmtId="0" fontId="8" fillId="9" borderId="21" xfId="0" applyFont="1" applyFill="1" applyBorder="1" applyAlignment="1">
      <x:alignment vertical="center" wrapText="1"/>
    </x:xf>
    <x:xf numFmtId="0" fontId="5" fillId="0" borderId="12" xfId="0" applyFont="1" applyBorder="1"/>
    <x:xf numFmtId="0" fontId="2" fillId="0" borderId="12" xfId="0" applyFont="1" applyBorder="1" applyAlignment="1">
      <x:alignment horizontal="center"/>
    </x:xf>
    <x:xf numFmtId="0" fontId="2" fillId="0" borderId="12" xfId="0" applyFont="1" applyBorder="1"/>
    <x:xf numFmtId="0" fontId="5" fillId="0" borderId="0" xfId="0" applyFont="1"/>
    <x:xf numFmtId="0" fontId="9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0" xfId="0" applyFont="1" applyBorder="1" applyAlignment="1">
      <x:alignment horizontal="center"/>
    </x:xf>
    <x:xf numFmtId="0" fontId="4" fillId="0" borderId="10" xfId="0" applyFont="1" applyBorder="1" applyAlignment="1">
      <x:alignment horizontal="center" wrapText="1"/>
    </x:xf>
    <x:xf numFmtId="0" fontId="4" fillId="0" borderId="8" xfId="0" applyFont="1" applyBorder="1" applyAlignment="1">
      <x:alignment horizontal="center" wrapText="1"/>
    </x:xf>
    <x:xf numFmtId="0" fontId="2" fillId="4" borderId="12" xfId="0" applyFont="1" applyFill="1" applyBorder="1" applyAlignment="1">
      <x:alignment horizontal="center"/>
    </x:xf>
    <x:xf numFmtId="0" fontId="0" fillId="0" borderId="0" xfId="0" applyAlignment="1">
      <x:alignment horizontal="left"/>
    </x:xf>
    <x:xf numFmtId="0" fontId="4" fillId="0" borderId="9" xfId="0" applyFont="1" applyBorder="1" applyAlignment="1">
      <x:alignment horizontal="center" vertical="center"/>
    </x:xf>
    <x:xf numFmtId="164" fontId="5" fillId="0" borderId="3" xfId="0" applyNumberFormat="1" applyFont="1" applyBorder="1" applyAlignment="1">
      <x:alignment horizontal="center" vertical="center" wrapText="1"/>
    </x:xf>
    <x:xf numFmtId="165" fontId="2" fillId="0" borderId="11" xfId="0" applyNumberFormat="1" applyFont="1" applyBorder="1" applyAlignment="1">
      <x:alignment horizontal="center" vertical="center"/>
    </x:xf>
    <x:xf numFmtId="0" fontId="5" fillId="13" borderId="3" xfId="0" applyFont="1" applyFill="1" applyBorder="1" applyAlignment="1">
      <x:alignment horizontal="center" vertical="center"/>
    </x:xf>
    <x:xf numFmtId="0" fontId="5" fillId="13" borderId="12" xfId="0" applyFont="1" applyFill="1" applyBorder="1" applyAlignment="1">
      <x:alignment horizontal="center" vertical="center"/>
    </x:xf>
    <x:xf numFmtId="0" fontId="5" fillId="13" borderId="12" xfId="0" applyFont="1" applyFill="1" applyBorder="1" applyAlignment="1">
      <x:alignment horizontal="center"/>
    </x:xf>
    <x:xf numFmtId="0" fontId="4" fillId="13" borderId="12" xfId="0" applyFont="1" applyFill="1" applyBorder="1" applyAlignment="1">
      <x:alignment horizontal="center"/>
    </x:xf>
    <x:xf numFmtId="164" fontId="5" fillId="0" borderId="4" xfId="0" applyNumberFormat="1" applyFont="1" applyBorder="1" applyAlignment="1">
      <x:alignment horizontal="center" vertical="center" wrapText="1"/>
    </x:xf>
    <x:xf numFmtId="164" fontId="5" fillId="0" borderId="12" xfId="0" applyNumberFormat="1" applyFont="1" applyBorder="1" applyAlignment="1">
      <x:alignment horizontal="center" vertical="center" wrapText="1"/>
    </x:xf>
    <x:xf numFmtId="0" fontId="14" fillId="14" borderId="27" xfId="0" applyFont="1" applyFill="1" applyBorder="1" applyAlignment="1">
      <x:alignment horizontal="center" vertical="center"/>
    </x:xf>
    <x:xf numFmtId="0" fontId="15" fillId="14" borderId="27" xfId="0" applyFont="1" applyFill="1" applyBorder="1" applyAlignment="1">
      <x:alignment horizontal="center"/>
    </x:xf>
    <x:xf numFmtId="0" fontId="12" fillId="5" borderId="27" xfId="0" applyFont="1" applyFill="1" applyBorder="1" applyAlignment="1">
      <x:alignment horizontal="left"/>
    </x:xf>
    <x:xf numFmtId="1" fontId="12" fillId="11" borderId="27" xfId="0" applyNumberFormat="1" applyFont="1" applyFill="1" applyBorder="1" applyAlignment="1">
      <x:alignment horizontal="center" vertical="center"/>
    </x:xf>
    <x:xf numFmtId="1" fontId="0" fillId="0" borderId="27" xfId="0" applyNumberFormat="1" applyBorder="1"/>
    <x:xf numFmtId="0" fontId="15" fillId="15" borderId="27" xfId="0" applyFont="1" applyFill="1" applyBorder="1" applyAlignment="1">
      <x:alignment horizontal="center"/>
    </x:xf>
    <x:xf numFmtId="0" fontId="0" fillId="0" borderId="27" xfId="0" applyBorder="1"/>
    <x:xf numFmtId="0" fontId="4" fillId="0" borderId="7" xfId="0" applyFont="1" applyBorder="1" applyAlignment="1">
      <x:alignment horizontal="center"/>
    </x:xf>
    <x:xf numFmtId="0" fontId="6" fillId="0" borderId="28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/>
    </x:xf>
    <x:xf numFmtId="0" fontId="16" fillId="0" borderId="12" xfId="0" applyFont="1" applyBorder="1" applyAlignment="1">
      <x:alignment horizontal="center"/>
    </x:xf>
    <x:xf numFmtId="0" fontId="5" fillId="16" borderId="13" xfId="0" applyFont="1" applyFill="1" applyBorder="1" applyAlignment="1">
      <x:alignment horizontal="center" vertical="center"/>
    </x:xf>
    <x:xf numFmtId="0" fontId="18" fillId="13" borderId="12" xfId="0" applyFont="1" applyFill="1" applyBorder="1" applyAlignment="1">
      <x:alignment horizontal="left"/>
    </x:xf>
    <x:xf numFmtId="0" fontId="18" fillId="13" borderId="3" xfId="0" applyFont="1" applyFill="1" applyBorder="1" applyAlignment="1">
      <x:alignment horizontal="left" vertical="center"/>
    </x:xf>
    <x:xf numFmtId="0" fontId="18" fillId="13" borderId="13" xfId="0" applyFont="1" applyFill="1" applyBorder="1" applyAlignment="1">
      <x:alignment horizontal="left" vertical="center"/>
    </x:xf>
    <x:xf numFmtId="0" fontId="18" fillId="13" borderId="12" xfId="0" applyFont="1" applyFill="1" applyBorder="1" applyAlignment="1">
      <x:alignment horizontal="left" vertical="center"/>
    </x:xf>
    <x:xf numFmtId="0" fontId="16" fillId="13" borderId="12" xfId="0" applyFont="1" applyFill="1" applyBorder="1" applyAlignment="1">
      <x:alignment horizontal="left"/>
    </x:xf>
    <x:xf numFmtId="0" fontId="18" fillId="0" borderId="12" xfId="0" applyFont="1" applyBorder="1" applyAlignment="1">
      <x:alignment horizontal="left"/>
    </x:xf>
    <x:xf numFmtId="0" fontId="20" fillId="0" borderId="28" xfId="0" applyFont="1" applyBorder="1" applyAlignment="1">
      <x:alignment horizontal="left" vertical="center"/>
    </x:xf>
    <x:xf numFmtId="0" fontId="20" fillId="0" borderId="14" xfId="0" applyFont="1" applyBorder="1" applyAlignment="1">
      <x:alignment horizontal="left" vertical="center" wrapText="1"/>
    </x:xf>
    <x:xf numFmtId="0" fontId="19" fillId="0" borderId="12" xfId="0" applyFont="1" applyBorder="1" applyAlignment="1">
      <x:alignment horizontal="left" vertical="center"/>
    </x:xf>
    <x:xf numFmtId="165" fontId="19" fillId="0" borderId="11" xfId="0" applyNumberFormat="1" applyFont="1" applyBorder="1" applyAlignment="1">
      <x:alignment horizontal="left" vertical="center"/>
    </x:xf>
    <x:xf numFmtId="0" fontId="19" fillId="0" borderId="12" xfId="0" applyFont="1" applyBorder="1" applyAlignment="1">
      <x:alignment horizontal="left"/>
    </x:xf>
    <x:xf numFmtId="1" fontId="4" fillId="0" borderId="12" xfId="0" applyNumberFormat="1" applyFont="1" applyBorder="1" applyAlignment="1">
      <x:alignment horizontal="center" vertical="center"/>
    </x:xf>
    <x:xf numFmtId="1" fontId="4" fillId="0" borderId="29" xfId="0" applyNumberFormat="1" applyFont="1" applyBorder="1" applyAlignment="1">
      <x:alignment horizontal="center" vertical="center"/>
    </x:xf>
    <x:xf numFmtId="1" fontId="4" fillId="0" borderId="13" xfId="0" applyNumberFormat="1" applyFont="1" applyBorder="1" applyAlignment="1">
      <x:alignment horizontal="center" vertical="center"/>
    </x:xf>
    <x:xf numFmtId="0" fontId="5" fillId="17" borderId="12" xfId="0" applyFont="1" applyFill="1" applyBorder="1" applyAlignment="1">
      <x:alignment horizontal="left" vertical="center"/>
    </x:xf>
    <x:xf numFmtId="0" fontId="5" fillId="18" borderId="12" xfId="0" applyFont="1" applyFill="1" applyBorder="1" applyAlignment="1">
      <x:alignment horizontal="center" vertical="center"/>
    </x:xf>
    <x:xf numFmtId="0" fontId="5" fillId="17" borderId="12" xfId="0" applyFont="1" applyFill="1" applyBorder="1" applyAlignment="1">
      <x:alignment horizontal="center" vertical="center"/>
    </x:xf>
    <x:xf numFmtId="0" fontId="5" fillId="19" borderId="12" xfId="0" applyFont="1" applyFill="1" applyBorder="1" applyAlignment="1">
      <x:alignment horizontal="center" vertical="center"/>
    </x:xf>
    <x:xf numFmtId="0" fontId="16" fillId="13" borderId="24" xfId="0" applyFont="1" applyFill="1" applyBorder="1" applyAlignment="1">
      <x:alignment horizontal="left" vertical="center" wrapText="1"/>
    </x:xf>
    <x:xf numFmtId="0" fontId="16" fillId="13" borderId="25" xfId="0" applyFont="1" applyFill="1" applyBorder="1" applyAlignment="1">
      <x:alignment horizontal="left" vertical="center"/>
    </x:xf>
    <x:xf numFmtId="0" fontId="16" fillId="13" borderId="12" xfId="0" applyFont="1" applyFill="1" applyBorder="1" applyAlignment="1">
      <x:alignment horizontal="left" vertical="center" wrapText="1"/>
    </x:xf>
    <x:xf numFmtId="0" fontId="21" fillId="13" borderId="12" xfId="0" applyFont="1" applyFill="1" applyBorder="1" applyAlignment="1">
      <x:alignment horizontal="left"/>
    </x:xf>
    <x:xf numFmtId="0" fontId="18" fillId="13" borderId="12" xfId="0" applyFont="1" applyFill="1" applyBorder="1" applyAlignment="1">
      <x:alignment horizontal="left" vertical="center" wrapText="1"/>
    </x:xf>
    <x:xf numFmtId="0" fontId="20" fillId="13" borderId="12" xfId="0" applyFont="1" applyFill="1" applyBorder="1" applyAlignment="1">
      <x:alignment horizontal="left" vertical="center" wrapText="1"/>
    </x:xf>
    <x:xf numFmtId="0" fontId="17" fillId="13" borderId="12" xfId="0" applyFont="1" applyFill="1" applyBorder="1" applyAlignment="1">
      <x:alignment horizontal="left"/>
    </x:xf>
    <x:xf numFmtId="0" fontId="4" fillId="0" borderId="9" xfId="0" applyFont="1" applyBorder="1" applyAlignment="1">
      <x:alignment horizontal="center" vertical="center"/>
    </x:xf>
    <x:xf numFmtId="0" fontId="9" fillId="0" borderId="9" xfId="0" applyFont="1" applyBorder="1"/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/>
    <x:xf numFmtId="0" fontId="6" fillId="3" borderId="12" xfId="0" applyFont="1" applyFill="1" applyBorder="1" applyAlignment="1">
      <x:alignment horizontal="center"/>
    </x:xf>
    <x:xf numFmtId="0" fontId="4" fillId="0" borderId="16" xfId="0" applyFont="1" applyBorder="1" applyAlignment="1">
      <x:alignment vertical="center" wrapText="1"/>
    </x:xf>
    <x:xf numFmtId="0" fontId="9" fillId="0" borderId="17" xfId="0" applyFont="1" applyBorder="1"/>
    <x:xf numFmtId="0" fontId="9" fillId="0" borderId="18" xfId="0" applyFont="1" applyBorder="1"/>
    <x:xf numFmtId="0" fontId="2" fillId="4" borderId="8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center" vertical="center" wrapText="1"/>
    </x:xf>
    <x:xf numFmtId="0" fontId="4" fillId="0" borderId="19" xfId="0" applyFont="1" applyBorder="1" applyAlignment="1">
      <x:alignment vertical="center" wrapText="1"/>
    </x:xf>
    <x:xf numFmtId="0" fontId="9" fillId="0" borderId="6" xfId="0" applyFont="1" applyBorder="1"/>
    <x:xf numFmtId="0" fontId="9" fillId="0" borderId="20" xfId="0" applyFont="1" applyBorder="1"/>
    <x:xf numFmtId="0" fontId="4" fillId="0" borderId="19" xfId="0" applyFont="1" applyBorder="1" applyAlignment="1">
      <x:alignment horizontal="left" vertical="center" wrapText="1"/>
    </x:xf>
    <x:xf numFmtId="0" fontId="4" fillId="0" borderId="21" xfId="0" applyFont="1" applyBorder="1" applyAlignment="1">
      <x:alignment horizontal="left" vertical="center" wrapText="1"/>
    </x:xf>
    <x:xf numFmtId="0" fontId="9" fillId="0" borderId="22" xfId="0" applyFont="1" applyBorder="1"/>
    <x:xf numFmtId="0" fontId="9" fillId="0" borderId="23" xfId="0" applyFont="1" applyBorder="1"/>
    <x:xf numFmtId="0" fontId="16" fillId="13" borderId="24" xfId="0" applyFont="1" applyFill="1" applyBorder="1" applyAlignment="1">
      <x:alignment vertical="center" wrapText="1"/>
    </x:xf>
    <x:xf numFmtId="0" fontId="16" fillId="13" borderId="25" xfId="0" applyFont="1" applyFill="1" applyBorder="1" applyAlignment="1">
      <x:alignment vertical="center"/>
    </x:xf>
    <x:xf numFmtId="0" fontId="16" fillId="13" borderId="12" xfId="0" applyFont="1" applyFill="1" applyBorder="1" applyAlignment="1">
      <x:alignment vertical="center" wrapText="1"/>
    </x:xf>
    <x:xf numFmtId="0" fontId="21" fillId="13" borderId="12" xfId="0" applyFont="1" applyFill="1" applyBorder="1"/>
    <x:xf numFmtId="0" fontId="18" fillId="13" borderId="12" xfId="0" applyFont="1" applyFill="1" applyBorder="1" applyAlignment="1">
      <x:alignment vertical="center" wrapText="1"/>
    </x:xf>
    <x:xf numFmtId="0" fontId="6" fillId="13" borderId="12" xfId="0" applyFont="1" applyFill="1" applyBorder="1" applyAlignment="1">
      <x:alignment horizontal="left" vertical="center" wrapText="1"/>
    </x:xf>
    <x:xf numFmtId="0" fontId="9" fillId="13" borderId="12" xfId="0" applyFont="1" applyFill="1" applyBorder="1"/>
    <x:xf numFmtId="0" fontId="10" fillId="13" borderId="12" xfId="0" applyFont="1" applyFill="1" applyBorder="1"/>
    <x:xf numFmtId="0" fontId="2" fillId="0" borderId="5" xfId="0" applyFont="1" applyBorder="1" applyAlignment="1">
      <x:alignment horizontal="center" vertical="center" wrapText="1"/>
    </x:xf>
    <x:xf numFmtId="0" fontId="3" fillId="0" borderId="11" xfId="0" applyFont="1" applyBorder="1"/>
    <x:xf numFmtId="0" fontId="2" fillId="0" borderId="12" xfId="0" applyFont="1" applyBorder="1" applyAlignment="1">
      <x:alignment horizontal="center" vertical="center" wrapText="1"/>
    </x:xf>
    <x:xf numFmtId="0" fontId="3" fillId="0" borderId="12" xfId="0" applyFont="1" applyBorder="1"/>
    <x:xf numFmtId="0" fontId="2" fillId="4" borderId="12" xfId="0" applyFont="1" applyFill="1" applyBorder="1" applyAlignment="1">
      <x:alignment horizontal="center" vertical="center" wrapText="1"/>
    </x:xf>
    <x:xf numFmtId="0" fontId="6" fillId="12" borderId="26" xfId="0" applyFont="1" applyFill="1" applyBorder="1" applyAlignment="1">
      <x:alignment horizontal="center"/>
    </x:xf>
    <x:xf numFmtId="0" fontId="6" fillId="12" borderId="9" xfId="0" applyFont="1" applyFill="1" applyBorder="1" applyAlignment="1">
      <x:alignment horizontal="center"/>
    </x:xf>
    <x:xf numFmtId="0" fontId="13" fillId="2" borderId="0" xfId="0" applyFont="1" applyFill="1" applyAlignment="1">
      <x:alignment horizontal="left" vertical="center"/>
    </x:xf>
    <x:xf numFmtId="0" fontId="11" fillId="6" borderId="0" xfId="0" applyFont="1" applyFill="1" applyAlignment="1">
      <x:alignment horizontal="center"/>
    </x:xf>
    <x:xf numFmtId="1" fontId="22" fillId="0" borderId="27" xfId="0" applyNumberFormat="1" applyFont="1" applyBorder="1"/>
    <x:xf numFmtId="0" fontId="5" fillId="20" borderId="12" xfId="0" applyNumberFormat="1" applyFont="1" applyFill="1" applyBorder="1" applyAlignment="1">
      <x:alignment horizontal="left" vertical="center"/>
    </x:xf>
    <x:xf numFmtId="0" fontId="5" fillId="20" borderId="12" xfId="0" applyNumberFormat="1" applyFont="1" applyFill="1" applyBorder="1" applyAlignment="1">
      <x:alignment horizontal="center" vertical="center"/>
    </x:xf>
    <x:xf numFmtId="200" fontId="4" fillId="0" borderId="12" xfId="0" applyNumberFormat="1" applyFont="1" applyFill="1" applyBorder="1" applyAlignment="1">
      <x:alignment horizontal="center" vertical="center"/>
    </x:xf>
    <x:xf numFmtId="200" fontId="4" fillId="0" borderId="29" xfId="0" applyNumberFormat="1" applyFont="1" applyFill="1" applyBorder="1" applyAlignment="1">
      <x:alignment horizontal="center" vertical="center"/>
    </x:xf>
    <x:xf numFmtId="200" fontId="4" fillId="0" borderId="13" xfId="0" applyNumberFormat="1" applyFont="1" applyFill="1" applyBorder="1" applyAlignment="1">
      <x:alignment horizontal="center" vertical="center"/>
    </x:xf>
    <x:xf numFmtId="0" fontId="5" fillId="21" borderId="12" xfId="0" applyNumberFormat="1" applyFont="1" applyFill="1" applyBorder="1" applyAlignment="1">
      <x:alignment horizontal="left" vertical="center"/>
    </x:xf>
  </x:cellXfs>
  <x:cellStyles count="2">
    <x:cellStyle name="60% - Accent1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e2113f8ae4755" /><Relationship Type="http://schemas.openxmlformats.org/officeDocument/2006/relationships/theme" Target="/xl/theme/theme1.xml" Id="R6a0cdb9d318a4dfd" /><Relationship Type="http://schemas.openxmlformats.org/officeDocument/2006/relationships/sharedStrings" Target="/xl/sharedStrings.xml" Id="Ree8dcd49b8f5417c" /><Relationship Type="http://schemas.openxmlformats.org/officeDocument/2006/relationships/worksheet" Target="/xl/worksheets/sheet1.xml" Id="Rbb5ad57e358c4eb7" /><Relationship Type="http://schemas.openxmlformats.org/officeDocument/2006/relationships/worksheet" Target="/xl/worksheets/sheet2.xml" Id="R096cea0ec8df4c4e" /><Relationship Type="http://schemas.openxmlformats.org/officeDocument/2006/relationships/worksheet" Target="/xl/worksheets/sheet3.xml" Id="R5e10334b925344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a6a6aea46945cb" /><Relationship Type="http://schemas.openxmlformats.org/officeDocument/2006/relationships/chart" Target="/xl/drawings/charts/chart2.xml" Id="R453555e2a0954179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1 Burndown Chart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Planned Remaining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Chart!$B$4:$B$17</c:f>
              <c:numCache>
                <c:formatCode>0</c:formatCode>
                <c:ptCount val="14"/>
                <c:pt idx="0">
                  <c:v>128</c:v>
                </c:pt>
                <c:pt idx="1">
                  <c:v>117</c:v>
                </c:pt>
                <c:pt idx="2">
                  <c:v>107</c:v>
                </c:pt>
                <c:pt idx="3">
                  <c:v>98</c:v>
                </c:pt>
                <c:pt idx="4">
                  <c:v>92</c:v>
                </c:pt>
                <c:pt idx="5">
                  <c:v>84</c:v>
                </c:pt>
                <c:pt idx="6">
                  <c:v>73</c:v>
                </c:pt>
                <c:pt idx="7">
                  <c:v>60</c:v>
                </c:pt>
                <c:pt idx="8">
                  <c:v>51</c:v>
                </c:pt>
                <c:pt idx="9">
                  <c:v>40</c:v>
                </c:pt>
                <c:pt idx="10">
                  <c:v>27</c:v>
                </c:pt>
                <c:pt idx="11">
                  <c:v>15</c:v>
                </c:pt>
                <c:pt idx="12">
                  <c:v>5</c:v>
                </c:pt>
                <c:pt idx="1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Actual Remaining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Chart!$C$4:$C$17</c:f>
              <c:numCache>
                <c:formatCode>0</c:formatCode>
                <c:ptCount val="14"/>
                <c:pt idx="0">
                  <c:v>128</c:v>
                </c:pt>
                <c:pt idx="1">
                  <c:v>120</c:v>
                </c:pt>
                <c:pt idx="2">
                  <c:v>109</c:v>
                </c:pt>
                <c:pt idx="3">
                  <c:v>99</c:v>
                </c:pt>
                <c:pt idx="4">
                  <c:v>92</c:v>
                </c:pt>
                <c:pt idx="5">
                  <c:v>85</c:v>
                </c:pt>
                <c:pt idx="6">
                  <c:v>75</c:v>
                </c:pt>
                <c:pt idx="7">
                  <c:v>63</c:v>
                </c:pt>
                <c:pt idx="8">
                  <c:v>50</c:v>
                </c:pt>
                <c:pt idx="9">
                  <c:v>40</c:v>
                </c:pt>
                <c:pt idx="10">
                  <c:v>28</c:v>
                </c:pt>
                <c:pt idx="11">
                  <c:v>18</c:v>
                </c:pt>
                <c:pt idx="12">
                  <c:v>6</c:v>
                </c:pt>
                <c:pt idx="1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Ideal Remaining</c:v>
          </c:tx>
          <c:spPr>
            <a:ln xmlns:a="http://schemas.openxmlformats.org/drawingml/2006/main"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Chart!$D$4:$D$17</c:f>
              <c:numCache>
                <c:formatCode>0</c:formatCode>
                <c:ptCount val="14"/>
                <c:pt idx="0">
                  <c:v>128</c:v>
                </c:pt>
                <c:pt idx="1">
                  <c:v>118.15384615384616</c:v>
                </c:pt>
                <c:pt idx="2">
                  <c:v>108.3076923076923</c:v>
                </c:pt>
                <c:pt idx="3">
                  <c:v>98.46153846153845</c:v>
                </c:pt>
                <c:pt idx="4">
                  <c:v>88.61538461538461</c:v>
                </c:pt>
                <c:pt idx="5">
                  <c:v>78.76923076923077</c:v>
                </c:pt>
                <c:pt idx="6">
                  <c:v>68.92307692307692</c:v>
                </c:pt>
                <c:pt idx="7">
                  <c:v>59.07692307692308</c:v>
                </c:pt>
                <c:pt idx="8">
                  <c:v>49.230769230769226</c:v>
                </c:pt>
                <c:pt idx="9">
                  <c:v>39.38461538461539</c:v>
                </c:pt>
                <c:pt idx="10">
                  <c:v>29.538461538461533</c:v>
                </c:pt>
                <c:pt idx="11">
                  <c:v>19.692307692307693</c:v>
                </c:pt>
                <c:pt idx="12">
                  <c:v>9.84615384615384</c:v>
                </c:pt>
                <c:pt idx="1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1 Burnup Chart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Planned Completed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Chart!$G$4:$G$17</c:f>
              <c:numCache>
                <c:formatCode>0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21</c:v>
                </c:pt>
                <c:pt idx="3">
                  <c:v>30</c:v>
                </c:pt>
                <c:pt idx="4">
                  <c:v>36</c:v>
                </c:pt>
                <c:pt idx="5">
                  <c:v>44</c:v>
                </c:pt>
                <c:pt idx="6">
                  <c:v>55</c:v>
                </c:pt>
                <c:pt idx="7">
                  <c:v>68</c:v>
                </c:pt>
                <c:pt idx="8">
                  <c:v>77</c:v>
                </c:pt>
                <c:pt idx="9">
                  <c:v>88</c:v>
                </c:pt>
                <c:pt idx="10">
                  <c:v>101</c:v>
                </c:pt>
                <c:pt idx="11">
                  <c:v>113</c:v>
                </c:pt>
                <c:pt idx="12">
                  <c:v>123</c:v>
                </c:pt>
                <c:pt idx="13">
                  <c:v>128</c:v>
                </c:pt>
              </c:numCache>
            </c:numRef>
          </c:val>
          <c:smooth val="0"/>
        </c:ser>
        <c:ser>
          <c:idx val="1"/>
          <c:order val="1"/>
          <c:tx>
            <c:v>Actual Completed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Chart!$H$4:$H$17</c:f>
              <c:numCache>
                <c:formatCode>0</c:formatCode>
                <c:ptCount val="14"/>
                <c:pt idx="0">
                  <c:v>0</c:v>
                </c:pt>
                <c:pt idx="1">
                  <c:v>8</c:v>
                </c:pt>
                <c:pt idx="2">
                  <c:v>19</c:v>
                </c:pt>
                <c:pt idx="3">
                  <c:v>29</c:v>
                </c:pt>
                <c:pt idx="4">
                  <c:v>36</c:v>
                </c:pt>
                <c:pt idx="5">
                  <c:v>43</c:v>
                </c:pt>
                <c:pt idx="6">
                  <c:v>53</c:v>
                </c:pt>
                <c:pt idx="7">
                  <c:v>65</c:v>
                </c:pt>
                <c:pt idx="8">
                  <c:v>78</c:v>
                </c:pt>
                <c:pt idx="9">
                  <c:v>88</c:v>
                </c:pt>
                <c:pt idx="10">
                  <c:v>100</c:v>
                </c:pt>
                <c:pt idx="11">
                  <c:v>110</c:v>
                </c:pt>
                <c:pt idx="12">
                  <c:v>122</c:v>
                </c:pt>
                <c:pt idx="13">
                  <c:v>128</c:v>
                </c:pt>
              </c:numCache>
            </c:numRef>
          </c:val>
          <c:smooth val="0"/>
        </c:ser>
        <c:ser>
          <c:idx val="2"/>
          <c:order val="2"/>
          <c:tx>
            <c:v>Total Scope</c:v>
          </c:tx>
          <c:spPr>
            <a:ln xmlns:a="http://schemas.openxmlformats.org/drawingml/2006/main"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Chart!$I$4:$I$17</c:f>
              <c:numCache>
                <c:formatCode>0</c:formatCode>
                <c:ptCount val="1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a6a6aea46945cb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3555e2a09541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1cda8fb13f446dd" /></Relationships>
</file>

<file path=xl/worksheets/sheet1.xml><?xml version="1.0" encoding="utf-8"?>
<x:worksheet xmlns:x="http://schemas.openxmlformats.org/spreadsheetml/2006/main">
  <x:sheetFormatPr defaultColWidth="12.59765625" defaultRowHeight="13.800000190734863"/>
  <x:cols>
    <x:col min="1" max="1" width="6.8984375" customWidth="1"/>
    <x:col min="2" max="2" width="17.19921875" customWidth="1"/>
    <x:col min="3" max="3" width="20.09765625" customWidth="1"/>
    <x:col min="4" max="4" width="12.3984375" customWidth="1"/>
    <x:col min="5" max="5" width="9.3984375" customWidth="1"/>
    <x:col min="6" max="11" width="7.3984375" customWidth="1"/>
    <x:col min="12" max="19" width="7.5" customWidth="1"/>
    <x:col min="20" max="20" width="6.59765625" customWidth="1"/>
  </x:cols>
  <x:sheetData>
    <x:row r="1" ht="50.400001525878906">
      <x:c r="A1" s="82" t="s">
        <x:v>0</x:v>
      </x:c>
      <x:c r="B1" s="83"/>
      <x:c r="C1" s="1" t="str">
        <x:v>FLTS - Teaching and Learning Support System</x:v>
      </x:c>
      <x:c r="D1" s="2"/>
    </x:row>
    <x:row r="2" ht="16.799999237060547">
      <x:c r="A2" s="82" t="s">
        <x:v>1</x:v>
      </x:c>
      <x:c r="B2" s="83"/>
      <x:c r="C2" s="4" t="str">
        <x:v>Sprint 1 - Foundation</x:v>
      </x:c>
      <x:c r="D2" s="2"/>
      <x:c r="E2" s="5"/>
      <x:c r="F2" s="5"/>
    </x:row>
    <x:row r="3" ht="16.799999237060547">
      <x:c r="A3" s="82" t="s">
        <x:v>2</x:v>
      </x:c>
      <x:c r="B3" s="83"/>
      <x:c r="C3" s="4" t="str">
        <x:v>FLTS Capstone Project Team</x:v>
      </x:c>
      <x:c r="D3" s="6"/>
      <x:c r="E3" s="5"/>
      <x:c r="F3" s="5"/>
    </x:row>
    <x:row r="4" ht="16.799999237060547">
      <x:c r="A4" s="82" t="s">
        <x:v>3</x:v>
      </x:c>
      <x:c r="B4" s="83"/>
      <x:c r="C4" s="34" t="n">
        <x:v>46290</x:v>
      </x:c>
      <x:c r="D4" s="6"/>
      <x:c r="E4" s="5"/>
      <x:c r="F4" s="5"/>
    </x:row>
    <x:row r="5" ht="16.799999237060547">
      <x:c r="A5" s="82" t="s">
        <x:v>4</x:v>
      </x:c>
      <x:c r="B5" s="83"/>
      <x:c r="C5" s="34" t="n">
        <x:v>46303</x:v>
      </x:c>
      <x:c r="D5" s="6"/>
      <x:c r="E5" s="5"/>
      <x:c r="F5" s="5"/>
    </x:row>
    <x:row r="6" ht="16.799999237060547">
      <x:c r="A6" s="7"/>
      <x:c r="B6" s="7"/>
      <x:c r="C6" s="8"/>
      <x:c r="D6" s="5"/>
      <x:c r="E6" s="5"/>
      <x:c r="F6" s="5"/>
    </x:row>
    <x:row r="7" ht="16.799999237060547">
      <x:c r="A7" s="84"/>
      <x:c r="B7" s="84"/>
      <x:c r="C7" s="84"/>
      <x:c r="D7" s="84"/>
      <x:c r="E7" s="5"/>
      <x:c r="F7" s="5"/>
      <x:c r="G7" s="18"/>
      <x:c r="H7" s="85" t="s">
        <x:v>5</x:v>
      </x:c>
      <x:c r="I7" s="86"/>
      <x:c r="J7" s="86"/>
      <x:c r="K7" s="87"/>
      <x:c r="L7" s="25"/>
      <x:c r="M7" s="25"/>
      <x:c r="N7" s="25"/>
      <x:c r="O7" s="25"/>
      <x:c r="P7" s="25"/>
      <x:c r="Q7" s="25"/>
      <x:c r="R7" s="25"/>
      <x:c r="S7" s="25"/>
    </x:row>
    <x:row r="8" ht="16.799999237060547">
      <x:c r="A8" s="16" t="s">
        <x:v>6</x:v>
      </x:c>
      <x:c r="B8" s="88" t="s">
        <x:v>7</x:v>
      </x:c>
      <x:c r="C8" s="89"/>
      <x:c r="D8" s="17" t="s">
        <x:v>8</x:v>
      </x:c>
      <x:c r="E8" s="5"/>
      <x:c r="F8" s="5"/>
      <x:c r="G8" s="19"/>
      <x:c r="H8" s="90" t="s">
        <x:v>9</x:v>
      </x:c>
      <x:c r="I8" s="91"/>
      <x:c r="J8" s="91"/>
      <x:c r="K8" s="92"/>
      <x:c r="L8" s="25"/>
      <x:c r="M8" s="25"/>
      <x:c r="N8" s="25"/>
      <x:c r="O8" s="25"/>
      <x:c r="P8" s="25"/>
      <x:c r="Q8" s="25"/>
      <x:c r="R8" s="25"/>
      <x:c r="S8" s="25"/>
    </x:row>
    <x:row r="9" ht="33.599998474121094">
      <x:c r="A9" s="3" t="n">
        <x:v>1</x:v>
      </x:c>
      <x:c r="B9" s="9" t="str">
        <x:v>Nguyen</x:v>
      </x:c>
      <x:c r="C9" s="12" t="str">
        <x:v>Truong Cong Trieu Nguyen</x:v>
      </x:c>
      <x:c r="D9" s="117" t="n">
        <x:f>SUMIF($D$16:$D$63,B9,$E$16:$E$63)+INT(SUMIF($D$16:$D$63,"All Members",$E$16:$E$63)/4)+IF(ROW()-9&gt;=4-MOD(SUMIF($D$16:$D$63,"All Members",$E$16:$E$63),4),1,0)</x:f>
        <x:v>32</x:v>
      </x:c>
      <x:c r="E9" s="5"/>
      <x:c r="F9" s="5"/>
      <x:c r="G9" s="20"/>
      <x:c r="H9" s="93" t="s">
        <x:v>10</x:v>
      </x:c>
      <x:c r="I9" s="91"/>
      <x:c r="J9" s="91"/>
      <x:c r="K9" s="92"/>
      <x:c r="L9" s="25"/>
      <x:c r="M9" s="25"/>
      <x:c r="N9" s="25"/>
      <x:c r="O9" s="25"/>
      <x:c r="P9" s="25"/>
      <x:c r="Q9" s="25"/>
      <x:c r="R9" s="25"/>
      <x:c r="S9" s="25"/>
    </x:row>
    <x:row r="10" ht="16.799999237060547">
      <x:c r="A10" s="3" t="n">
        <x:v>2</x:v>
      </x:c>
      <x:c r="B10" s="3" t="str">
        <x:v>Khoa</x:v>
      </x:c>
      <x:c r="C10" s="13" t="str">
        <x:v>Tra Van Minh Khoa</x:v>
      </x:c>
      <x:c r="D10" s="117" t="n">
        <x:f>SUMIF($D$16:$D$63,B10,$E$16:$E$63)+INT(SUMIF($D$16:$D$63,"All Members",$E$16:$E$63)/4)+IF(ROW()-9&gt;=4-MOD(SUMIF($D$16:$D$63,"All Members",$E$16:$E$63),4),1,0)</x:f>
        <x:v>32</x:v>
      </x:c>
      <x:c r="E10" s="5"/>
      <x:c r="F10" s="5"/>
      <x:c r="G10" s="21"/>
      <x:c r="H10" s="94" t="s">
        <x:v>11</x:v>
      </x:c>
      <x:c r="I10" s="95"/>
      <x:c r="J10" s="95"/>
      <x:c r="K10" s="96"/>
      <x:c r="L10" s="25"/>
      <x:c r="M10" s="25"/>
      <x:c r="N10" s="25"/>
      <x:c r="O10" s="25"/>
      <x:c r="P10" s="25"/>
      <x:c r="Q10" s="25"/>
      <x:c r="R10" s="25"/>
      <x:c r="S10" s="25"/>
    </x:row>
    <x:row r="11" ht="16.799999237060547">
      <x:c r="A11" s="3" t="n">
        <x:v>3</x:v>
      </x:c>
      <x:c r="B11" s="9" t="str">
        <x:v>Hung</x:v>
      </x:c>
      <x:c r="C11" s="12" t="str">
        <x:v>Le The Khanh Hung</x:v>
      </x:c>
      <x:c r="D11" s="117" t="n">
        <x:f>SUMIF($D$16:$D$63,B11,$E$16:$E$63)+INT(SUMIF($D$16:$D$63,"All Members",$E$16:$E$63)/4)+IF(ROW()-9&gt;=4-MOD(SUMIF($D$16:$D$63,"All Members",$E$16:$E$63),4),1,0)</x:f>
        <x:v>32</x:v>
      </x:c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</x:row>
    <x:row r="12" ht="16.799999237060547">
      <x:c r="A12" s="49" t="n">
        <x:v>4</x:v>
      </x:c>
      <x:c r="B12" s="49" t="str">
        <x:v>Vuong</x:v>
      </x:c>
      <x:c r="C12" s="8" t="str">
        <x:v>Dang Trung Vuong</x:v>
      </x:c>
      <x:c r="D12" s="118" t="n">
        <x:f>SUMIF($D$16:$D$63,B12,$E$16:$E$63)+INT(SUMIF($D$16:$D$63,"All Members",$E$16:$E$63)/4)+IF(ROW()-9&gt;=4-MOD(SUMIF($D$16:$D$63,"All Members",$E$16:$E$63),4),1,0)</x:f>
        <x:v>32</x:v>
      </x:c>
      <x:c r="E12" s="25"/>
      <x:c r="F12" s="26"/>
      <x:c r="G12" s="25"/>
      <x:c r="H12" s="25"/>
      <x:c r="I12" s="25"/>
      <x:c r="J12" s="80"/>
      <x:c r="K12" s="81"/>
      <x:c r="L12" s="25"/>
      <x:c r="M12" s="25"/>
      <x:c r="N12" s="25"/>
      <x:c r="O12" s="25"/>
      <x:c r="P12" s="25"/>
      <x:c r="Q12" s="25"/>
      <x:c r="R12" s="25"/>
      <x:c r="S12" s="25"/>
    </x:row>
    <x:row r="13" ht="16.799999237060547">
      <x:c r="A13" s="52"/>
      <x:c r="B13" s="53"/>
      <x:c r="C13" s="53"/>
      <x:c r="D13" s="66"/>
      <x:c r="E13" s="25"/>
      <x:c r="F13" s="26"/>
      <x:c r="G13" s="25"/>
      <x:c r="H13" s="25"/>
      <x:c r="I13" s="25"/>
      <x:c r="J13" s="33"/>
      <x:c r="K13" s="26"/>
      <x:c r="L13" s="25"/>
      <x:c r="M13" s="25"/>
      <x:c r="N13" s="25"/>
      <x:c r="O13" s="25"/>
      <x:c r="P13" s="25"/>
      <x:c r="Q13" s="25"/>
      <x:c r="R13" s="25"/>
      <x:c r="S13" s="25"/>
    </x:row>
    <x:row r="14" ht="16.799999237060547">
      <x:c r="A14" s="52"/>
      <x:c r="B14" s="52"/>
      <x:c r="C14" s="52"/>
      <x:c r="D14" s="15"/>
      <x:c r="E14" s="25"/>
      <x:c r="F14" s="26"/>
      <x:c r="G14" s="25"/>
      <x:c r="H14" s="25"/>
      <x:c r="I14" s="25"/>
      <x:c r="J14" s="33"/>
      <x:c r="K14" s="26"/>
      <x:c r="L14" s="25"/>
      <x:c r="M14" s="25"/>
      <x:c r="N14" s="25"/>
      <x:c r="O14" s="25"/>
      <x:c r="P14" s="25"/>
      <x:c r="Q14" s="25"/>
      <x:c r="R14" s="25"/>
      <x:c r="S14" s="25"/>
    </x:row>
    <x:row r="15" ht="33.599998474121094">
      <x:c r="A15" s="61" t="s">
        <x:v>12</x:v>
      </x:c>
      <x:c r="B15" s="61" t="s">
        <x:v>13</x:v>
      </x:c>
      <x:c r="C15" s="61"/>
      <x:c r="D15" s="62" t="s">
        <x:v>14</x:v>
      </x:c>
      <x:c r="E15" s="63" t="s">
        <x:v>8</x:v>
      </x:c>
      <x:c r="F15" s="64" t="n">
        <x:v>46290</x:v>
      </x:c>
      <x:c r="G15" s="64" t="n">
        <x:v>46291</x:v>
      </x:c>
      <x:c r="H15" s="64" t="n">
        <x:v>46292</x:v>
      </x:c>
      <x:c r="I15" s="64" t="n">
        <x:v>46293</x:v>
      </x:c>
      <x:c r="J15" s="64" t="n">
        <x:v>46294</x:v>
      </x:c>
      <x:c r="K15" s="64" t="n">
        <x:v>46295</x:v>
      </x:c>
      <x:c r="L15" s="64" t="n">
        <x:v>46296</x:v>
      </x:c>
      <x:c r="M15" s="64" t="n">
        <x:v>46297</x:v>
      </x:c>
      <x:c r="N15" s="64" t="n">
        <x:v>46298</x:v>
      </x:c>
      <x:c r="O15" s="64" t="n">
        <x:v>46299</x:v>
      </x:c>
      <x:c r="P15" s="64" t="n">
        <x:v>46300</x:v>
      </x:c>
      <x:c r="Q15" s="64" t="n">
        <x:v>46301</x:v>
      </x:c>
      <x:c r="R15" s="64" t="n">
        <x:v>46302</x:v>
      </x:c>
      <x:c r="S15" s="64" t="n">
        <x:v>46303</x:v>
      </x:c>
    </x:row>
    <x:row r="16" ht="16.799999237060547">
      <x:c r="A16" s="55" t="str">
        <x:v>SPR1</x:v>
      </x:c>
      <x:c r="B16" s="78" t="str">
        <x:v>Sprint Planning Meeting</x:v>
      </x:c>
      <x:c r="C16" s="79"/>
      <x:c r="D16" s="56" t="str">
        <x:v>All Members</x:v>
      </x:c>
      <x:c r="E16" s="57" t="n">
        <x:v>4</x:v>
      </x:c>
      <x:c r="F16" s="115" t="n">
        <x:v>4</x:v>
      </x:c>
      <x:c r="G16" s="120" t="n">
        <x:v>0</x:v>
      </x:c>
      <x:c r="H16" s="115" t="n">
        <x:v>0</x:v>
      </x:c>
      <x:c r="I16" s="115" t="n">
        <x:v>0</x:v>
      </x:c>
      <x:c r="J16" s="115" t="n">
        <x:v>0</x:v>
      </x:c>
      <x:c r="K16" s="115" t="n">
        <x:v>0</x:v>
      </x:c>
      <x:c r="L16" s="115" t="n">
        <x:v>0</x:v>
      </x:c>
      <x:c r="M16" s="115" t="n">
        <x:v>0</x:v>
      </x:c>
      <x:c r="N16" s="115" t="n">
        <x:v>0</x:v>
      </x:c>
      <x:c r="O16" s="115" t="n">
        <x:v>0</x:v>
      </x:c>
      <x:c r="P16" s="115" t="n">
        <x:v>0</x:v>
      </x:c>
      <x:c r="Q16" s="115" t="n">
        <x:v>0</x:v>
      </x:c>
      <x:c r="R16" s="115" t="n">
        <x:v>0</x:v>
      </x:c>
      <x:c r="S16" s="115" t="n">
        <x:v>0</x:v>
      </x:c>
    </x:row>
    <x:row r="17" ht="16.799999237060547">
      <x:c r="A17" s="55" t="str">
        <x:v>SPR1</x:v>
      </x:c>
      <x:c r="B17" s="78" t="str">
        <x:v>Create Sprint 1 Backlog</x:v>
      </x:c>
      <x:c r="C17" s="79"/>
      <x:c r="D17" s="56" t="str">
        <x:v>All Members</x:v>
      </x:c>
      <x:c r="E17" s="58" t="n">
        <x:v>2</x:v>
      </x:c>
      <x:c r="F17" s="115" t="n">
        <x:v>2</x:v>
      </x:c>
      <x:c r="G17" s="120" t="n">
        <x:v>0</x:v>
      </x:c>
      <x:c r="H17" s="115" t="n">
        <x:v>0</x:v>
      </x:c>
      <x:c r="I17" s="115" t="n">
        <x:v>0</x:v>
      </x:c>
      <x:c r="J17" s="115" t="n">
        <x:v>0</x:v>
      </x:c>
      <x:c r="K17" s="115" t="n">
        <x:v>0</x:v>
      </x:c>
      <x:c r="L17" s="115" t="n">
        <x:v>0</x:v>
      </x:c>
      <x:c r="M17" s="115" t="n">
        <x:v>0</x:v>
      </x:c>
      <x:c r="N17" s="115" t="n">
        <x:v>0</x:v>
      </x:c>
      <x:c r="O17" s="115" t="n">
        <x:v>0</x:v>
      </x:c>
      <x:c r="P17" s="115" t="n">
        <x:v>0</x:v>
      </x:c>
      <x:c r="Q17" s="115" t="n">
        <x:v>0</x:v>
      </x:c>
      <x:c r="R17" s="115" t="n">
        <x:v>0</x:v>
      </x:c>
      <x:c r="S17" s="115" t="n">
        <x:v>0</x:v>
      </x:c>
    </x:row>
    <x:row r="18" ht="16.799999237060547">
      <x:c r="A18" s="55" t="str">
        <x:v>SPR1</x:v>
      </x:c>
      <x:c r="B18" s="78" t="str">
        <x:v>Create Sprint 1 Test Plan</x:v>
      </x:c>
      <x:c r="C18" s="79"/>
      <x:c r="D18" s="56" t="str">
        <x:v>Vuong</x:v>
      </x:c>
      <x:c r="E18" s="58" t="n">
        <x:v>2</x:v>
      </x:c>
      <x:c r="F18" s="115" t="n">
        <x:v>2</x:v>
      </x:c>
      <x:c r="G18" s="115" t="n">
        <x:v>1</x:v>
      </x:c>
      <x:c r="H18" s="120" t="n">
        <x:v>0</x:v>
      </x:c>
      <x:c r="I18" s="115" t="n">
        <x:v>0</x:v>
      </x:c>
      <x:c r="J18" s="115" t="n">
        <x:v>0</x:v>
      </x:c>
      <x:c r="K18" s="115" t="n">
        <x:v>0</x:v>
      </x:c>
      <x:c r="L18" s="115" t="n">
        <x:v>0</x:v>
      </x:c>
      <x:c r="M18" s="115" t="n">
        <x:v>0</x:v>
      </x:c>
      <x:c r="N18" s="115" t="n">
        <x:v>0</x:v>
      </x:c>
      <x:c r="O18" s="115" t="n">
        <x:v>0</x:v>
      </x:c>
      <x:c r="P18" s="115" t="n">
        <x:v>0</x:v>
      </x:c>
      <x:c r="Q18" s="115" t="n">
        <x:v>0</x:v>
      </x:c>
      <x:c r="R18" s="115" t="n">
        <x:v>0</x:v>
      </x:c>
      <x:c r="S18" s="115" t="n">
        <x:v>0</x:v>
      </x:c>
    </x:row>
    <x:row r="19" ht="16.799999237060547">
      <x:c r="A19" s="55" t="str">
        <x:v>PB01</x:v>
      </x:c>
      <x:c r="B19" s="77" t="str">
        <x:v>Initialize Git repository and project structure</x:v>
      </x:c>
      <x:c r="C19" s="76"/>
      <x:c r="D19" s="55" t="str">
        <x:v>Nguyen</x:v>
      </x:c>
      <x:c r="E19" s="58" t="n">
        <x:v>2</x:v>
      </x:c>
      <x:c r="F19" s="115" t="n">
        <x:v>2</x:v>
      </x:c>
      <x:c r="G19" s="120" t="n">
        <x:v>0</x:v>
      </x:c>
      <x:c r="H19" s="115" t="n">
        <x:v>0</x:v>
      </x:c>
      <x:c r="I19" s="115" t="n">
        <x:v>0</x:v>
      </x:c>
      <x:c r="J19" s="115" t="n">
        <x:v>0</x:v>
      </x:c>
      <x:c r="K19" s="115" t="n">
        <x:v>0</x:v>
      </x:c>
      <x:c r="L19" s="115" t="n">
        <x:v>0</x:v>
      </x:c>
      <x:c r="M19" s="115" t="n">
        <x:v>0</x:v>
      </x:c>
      <x:c r="N19" s="115" t="n">
        <x:v>0</x:v>
      </x:c>
      <x:c r="O19" s="115" t="n">
        <x:v>0</x:v>
      </x:c>
      <x:c r="P19" s="115" t="n">
        <x:v>0</x:v>
      </x:c>
      <x:c r="Q19" s="115" t="n">
        <x:v>0</x:v>
      </x:c>
      <x:c r="R19" s="115" t="n">
        <x:v>0</x:v>
      </x:c>
      <x:c r="S19" s="115" t="n">
        <x:v>0</x:v>
      </x:c>
    </x:row>
    <x:row r="20" ht="16.799999237060547">
      <x:c r="A20" s="55" t="str">
        <x:v>PB01</x:v>
      </x:c>
      <x:c r="B20" s="75" t="str">
        <x:v>Define Git branching strategy</x:v>
      </x:c>
      <x:c r="C20" s="76"/>
      <x:c r="D20" s="55" t="str">
        <x:v>Nguyen</x:v>
      </x:c>
      <x:c r="E20" s="58" t="n">
        <x:v>2</x:v>
      </x:c>
      <x:c r="F20" s="115" t="n">
        <x:v>2</x:v>
      </x:c>
      <x:c r="G20" s="120" t="n">
        <x:v>0</x:v>
      </x:c>
      <x:c r="H20" s="115" t="n">
        <x:v>0</x:v>
      </x:c>
      <x:c r="I20" s="115" t="n">
        <x:v>0</x:v>
      </x:c>
      <x:c r="J20" s="115" t="n">
        <x:v>0</x:v>
      </x:c>
      <x:c r="K20" s="115" t="n">
        <x:v>0</x:v>
      </x:c>
      <x:c r="L20" s="115" t="n">
        <x:v>0</x:v>
      </x:c>
      <x:c r="M20" s="115" t="n">
        <x:v>0</x:v>
      </x:c>
      <x:c r="N20" s="115" t="n">
        <x:v>0</x:v>
      </x:c>
      <x:c r="O20" s="115" t="n">
        <x:v>0</x:v>
      </x:c>
      <x:c r="P20" s="115" t="n">
        <x:v>0</x:v>
      </x:c>
      <x:c r="Q20" s="115" t="n">
        <x:v>0</x:v>
      </x:c>
      <x:c r="R20" s="115" t="n">
        <x:v>0</x:v>
      </x:c>
      <x:c r="S20" s="115" t="n">
        <x:v>0</x:v>
      </x:c>
    </x:row>
    <x:row r="21" ht="16.799999237060547">
      <x:c r="A21" s="55" t="str">
        <x:v>PB01</x:v>
      </x:c>
      <x:c r="B21" s="75" t="str">
        <x:v>Configure branch protection and pull request rules</x:v>
      </x:c>
      <x:c r="C21" s="76"/>
      <x:c r="D21" s="59" t="str">
        <x:v>Nguyen</x:v>
      </x:c>
      <x:c r="E21" s="58" t="n">
        <x:v>2</x:v>
      </x:c>
      <x:c r="F21" s="115" t="n">
        <x:v>2</x:v>
      </x:c>
      <x:c r="G21" s="115" t="n">
        <x:v>1</x:v>
      </x:c>
      <x:c r="H21" s="120" t="n">
        <x:v>0</x:v>
      </x:c>
      <x:c r="I21" s="115" t="n">
        <x:v>0</x:v>
      </x:c>
      <x:c r="J21" s="115" t="n">
        <x:v>0</x:v>
      </x:c>
      <x:c r="K21" s="115" t="n">
        <x:v>0</x:v>
      </x:c>
      <x:c r="L21" s="115" t="n">
        <x:v>0</x:v>
      </x:c>
      <x:c r="M21" s="115" t="n">
        <x:v>0</x:v>
      </x:c>
      <x:c r="N21" s="115" t="n">
        <x:v>0</x:v>
      </x:c>
      <x:c r="O21" s="115" t="n">
        <x:v>0</x:v>
      </x:c>
      <x:c r="P21" s="115" t="n">
        <x:v>0</x:v>
      </x:c>
      <x:c r="Q21" s="115" t="n">
        <x:v>0</x:v>
      </x:c>
      <x:c r="R21" s="115" t="n">
        <x:v>0</x:v>
      </x:c>
      <x:c r="S21" s="115" t="n">
        <x:v>0</x:v>
      </x:c>
    </x:row>
    <x:row r="22" ht="16.799999237060547">
      <x:c r="A22" s="55" t="str">
        <x:v>PB02</x:v>
      </x:c>
      <x:c r="B22" s="75" t="str">
        <x:v>Create Docker Compose services</x:v>
      </x:c>
      <x:c r="C22" s="76"/>
      <x:c r="D22" s="59" t="str">
        <x:v>Khoa</x:v>
      </x:c>
      <x:c r="E22" s="58" t="n">
        <x:v>3</x:v>
      </x:c>
      <x:c r="F22" s="115" t="n">
        <x:v>3</x:v>
      </x:c>
      <x:c r="G22" s="115" t="n">
        <x:v>3</x:v>
      </x:c>
      <x:c r="H22" s="115" t="n">
        <x:v>2</x:v>
      </x:c>
      <x:c r="I22" s="120" t="n">
        <x:v>0</x:v>
      </x:c>
      <x:c r="J22" s="115" t="n">
        <x:v>0</x:v>
      </x:c>
      <x:c r="K22" s="115" t="n">
        <x:v>0</x:v>
      </x:c>
      <x:c r="L22" s="115" t="n">
        <x:v>0</x:v>
      </x:c>
      <x:c r="M22" s="115" t="n">
        <x:v>0</x:v>
      </x:c>
      <x:c r="N22" s="115" t="n">
        <x:v>0</x:v>
      </x:c>
      <x:c r="O22" s="115" t="n">
        <x:v>0</x:v>
      </x:c>
      <x:c r="P22" s="115" t="n">
        <x:v>0</x:v>
      </x:c>
      <x:c r="Q22" s="115" t="n">
        <x:v>0</x:v>
      </x:c>
      <x:c r="R22" s="115" t="n">
        <x:v>0</x:v>
      </x:c>
      <x:c r="S22" s="115" t="n">
        <x:v>0</x:v>
      </x:c>
    </x:row>
    <x:row r="23" ht="16.799999237060547">
      <x:c r="A23" s="55" t="str">
        <x:v>PB02</x:v>
      </x:c>
      <x:c r="B23" s="75" t="str">
        <x:v>Configure Laravel backend environment</x:v>
      </x:c>
      <x:c r="C23" s="76"/>
      <x:c r="D23" s="59" t="str">
        <x:v>Khoa</x:v>
      </x:c>
      <x:c r="E23" s="58" t="n">
        <x:v>2</x:v>
      </x:c>
      <x:c r="F23" s="115" t="n">
        <x:v>2</x:v>
      </x:c>
      <x:c r="G23" s="115" t="n">
        <x:v>2</x:v>
      </x:c>
      <x:c r="H23" s="115" t="n">
        <x:v>1</x:v>
      </x:c>
      <x:c r="I23" s="120" t="n">
        <x:v>0</x:v>
      </x:c>
      <x:c r="J23" s="115" t="n">
        <x:v>0</x:v>
      </x:c>
      <x:c r="K23" s="115" t="n">
        <x:v>0</x:v>
      </x:c>
      <x:c r="L23" s="115" t="n">
        <x:v>0</x:v>
      </x:c>
      <x:c r="M23" s="115" t="n">
        <x:v>0</x:v>
      </x:c>
      <x:c r="N23" s="115" t="n">
        <x:v>0</x:v>
      </x:c>
      <x:c r="O23" s="115" t="n">
        <x:v>0</x:v>
      </x:c>
      <x:c r="P23" s="115" t="n">
        <x:v>0</x:v>
      </x:c>
      <x:c r="Q23" s="115" t="n">
        <x:v>0</x:v>
      </x:c>
      <x:c r="R23" s="115" t="n">
        <x:v>0</x:v>
      </x:c>
      <x:c r="S23" s="115" t="n">
        <x:v>0</x:v>
      </x:c>
    </x:row>
    <x:row r="24" ht="16.799999237060547">
      <x:c r="A24" s="55" t="str">
        <x:v>PB02</x:v>
      </x:c>
      <x:c r="B24" s="75" t="str">
        <x:v>Configure Vue frontend environment</x:v>
      </x:c>
      <x:c r="C24" s="76"/>
      <x:c r="D24" s="59" t="str">
        <x:v>Hung</x:v>
      </x:c>
      <x:c r="E24" s="58" t="n">
        <x:v>2</x:v>
      </x:c>
      <x:c r="F24" s="115" t="n">
        <x:v>2</x:v>
      </x:c>
      <x:c r="G24" s="115" t="n">
        <x:v>2</x:v>
      </x:c>
      <x:c r="H24" s="115" t="n">
        <x:v>1</x:v>
      </x:c>
      <x:c r="I24" s="120" t="n">
        <x:v>0</x:v>
      </x:c>
      <x:c r="J24" s="115" t="n">
        <x:v>0</x:v>
      </x:c>
      <x:c r="K24" s="115" t="n">
        <x:v>0</x:v>
      </x:c>
      <x:c r="L24" s="115" t="n">
        <x:v>0</x:v>
      </x:c>
      <x:c r="M24" s="115" t="n">
        <x:v>0</x:v>
      </x:c>
      <x:c r="N24" s="115" t="n">
        <x:v>0</x:v>
      </x:c>
      <x:c r="O24" s="115" t="n">
        <x:v>0</x:v>
      </x:c>
      <x:c r="P24" s="115" t="n">
        <x:v>0</x:v>
      </x:c>
      <x:c r="Q24" s="115" t="n">
        <x:v>0</x:v>
      </x:c>
      <x:c r="R24" s="115" t="n">
        <x:v>0</x:v>
      </x:c>
      <x:c r="S24" s="115" t="n">
        <x:v>0</x:v>
      </x:c>
    </x:row>
    <x:row r="25" ht="16.799999237060547">
      <x:c r="A25" s="55" t="str">
        <x:v>PB02</x:v>
      </x:c>
      <x:c r="B25" s="75" t="str">
        <x:v>Verify local development environments</x:v>
      </x:c>
      <x:c r="C25" s="76"/>
      <x:c r="D25" s="59" t="str">
        <x:v>Nguyen</x:v>
      </x:c>
      <x:c r="E25" s="58" t="n">
        <x:v>1</x:v>
      </x:c>
      <x:c r="F25" s="115" t="n">
        <x:v>1</x:v>
      </x:c>
      <x:c r="G25" s="115" t="n">
        <x:v>1</x:v>
      </x:c>
      <x:c r="H25" s="115" t="n">
        <x:v>1</x:v>
      </x:c>
      <x:c r="I25" s="120" t="n">
        <x:v>0</x:v>
      </x:c>
      <x:c r="J25" s="115" t="n">
        <x:v>0</x:v>
      </x:c>
      <x:c r="K25" s="115" t="n">
        <x:v>0</x:v>
      </x:c>
      <x:c r="L25" s="115" t="n">
        <x:v>0</x:v>
      </x:c>
      <x:c r="M25" s="115" t="n">
        <x:v>0</x:v>
      </x:c>
      <x:c r="N25" s="115" t="n">
        <x:v>0</x:v>
      </x:c>
      <x:c r="O25" s="115" t="n">
        <x:v>0</x:v>
      </x:c>
      <x:c r="P25" s="115" t="n">
        <x:v>0</x:v>
      </x:c>
      <x:c r="Q25" s="115" t="n">
        <x:v>0</x:v>
      </x:c>
      <x:c r="R25" s="115" t="n">
        <x:v>0</x:v>
      </x:c>
      <x:c r="S25" s="115" t="n">
        <x:v>0</x:v>
      </x:c>
    </x:row>
    <x:row r="26" ht="16.799999237060547">
      <x:c r="A26" s="55" t="str">
        <x:v>PB03</x:v>
      </x:c>
      <x:c r="B26" s="75" t="str">
        <x:v>Define coding conventions</x:v>
      </x:c>
      <x:c r="C26" s="76"/>
      <x:c r="D26" s="59" t="str">
        <x:v>Nguyen</x:v>
      </x:c>
      <x:c r="E26" s="58" t="n">
        <x:v>2</x:v>
      </x:c>
      <x:c r="F26" s="115" t="n">
        <x:v>2</x:v>
      </x:c>
      <x:c r="G26" s="115" t="n">
        <x:v>2</x:v>
      </x:c>
      <x:c r="H26" s="115" t="n">
        <x:v>1</x:v>
      </x:c>
      <x:c r="I26" s="120" t="n">
        <x:v>0</x:v>
      </x:c>
      <x:c r="J26" s="115" t="n">
        <x:v>0</x:v>
      </x:c>
      <x:c r="K26" s="115" t="n">
        <x:v>0</x:v>
      </x:c>
      <x:c r="L26" s="115" t="n">
        <x:v>0</x:v>
      </x:c>
      <x:c r="M26" s="115" t="n">
        <x:v>0</x:v>
      </x:c>
      <x:c r="N26" s="115" t="n">
        <x:v>0</x:v>
      </x:c>
      <x:c r="O26" s="115" t="n">
        <x:v>0</x:v>
      </x:c>
      <x:c r="P26" s="115" t="n">
        <x:v>0</x:v>
      </x:c>
      <x:c r="Q26" s="115" t="n">
        <x:v>0</x:v>
      </x:c>
      <x:c r="R26" s="115" t="n">
        <x:v>0</x:v>
      </x:c>
      <x:c r="S26" s="115" t="n">
        <x:v>0</x:v>
      </x:c>
    </x:row>
    <x:row r="27" ht="16.799999237060547">
      <x:c r="A27" s="55" t="str">
        <x:v>PB03</x:v>
      </x:c>
      <x:c r="B27" s="75" t="str">
        <x:v>Create code review checklist</x:v>
      </x:c>
      <x:c r="C27" s="76"/>
      <x:c r="D27" s="59" t="str">
        <x:v>Nguyen</x:v>
      </x:c>
      <x:c r="E27" s="58" t="n">
        <x:v>2</x:v>
      </x:c>
      <x:c r="F27" s="115" t="n">
        <x:v>2</x:v>
      </x:c>
      <x:c r="G27" s="115" t="n">
        <x:v>2</x:v>
      </x:c>
      <x:c r="H27" s="115" t="n">
        <x:v>2</x:v>
      </x:c>
      <x:c r="I27" s="115" t="n">
        <x:v>1</x:v>
      </x:c>
      <x:c r="J27" s="120" t="n">
        <x:v>0</x:v>
      </x:c>
      <x:c r="K27" s="115" t="n">
        <x:v>0</x:v>
      </x:c>
      <x:c r="L27" s="115" t="n">
        <x:v>0</x:v>
      </x:c>
      <x:c r="M27" s="115" t="n">
        <x:v>0</x:v>
      </x:c>
      <x:c r="N27" s="115" t="n">
        <x:v>0</x:v>
      </x:c>
      <x:c r="O27" s="115" t="n">
        <x:v>0</x:v>
      </x:c>
      <x:c r="P27" s="115" t="n">
        <x:v>0</x:v>
      </x:c>
      <x:c r="Q27" s="115" t="n">
        <x:v>0</x:v>
      </x:c>
      <x:c r="R27" s="115" t="n">
        <x:v>0</x:v>
      </x:c>
      <x:c r="S27" s="115" t="n">
        <x:v>0</x:v>
      </x:c>
    </x:row>
    <x:row r="28" ht="16.799999237060547">
      <x:c r="A28" s="55" t="str">
        <x:v>PB04</x:v>
      </x:c>
      <x:c r="B28" s="75" t="str">
        <x:v>Configure CI pipeline</x:v>
      </x:c>
      <x:c r="C28" s="76"/>
      <x:c r="D28" s="59" t="str">
        <x:v>Khoa</x:v>
      </x:c>
      <x:c r="E28" s="58" t="n">
        <x:v>3</x:v>
      </x:c>
      <x:c r="F28" s="115" t="n">
        <x:v>3</x:v>
      </x:c>
      <x:c r="G28" s="115" t="n">
        <x:v>3</x:v>
      </x:c>
      <x:c r="H28" s="115" t="n">
        <x:v>3</x:v>
      </x:c>
      <x:c r="I28" s="115" t="n">
        <x:v>2</x:v>
      </x:c>
      <x:c r="J28" s="120" t="n">
        <x:v>0</x:v>
      </x:c>
      <x:c r="K28" s="115" t="n">
        <x:v>0</x:v>
      </x:c>
      <x:c r="L28" s="115" t="n">
        <x:v>0</x:v>
      </x:c>
      <x:c r="M28" s="115" t="n">
        <x:v>0</x:v>
      </x:c>
      <x:c r="N28" s="115" t="n">
        <x:v>0</x:v>
      </x:c>
      <x:c r="O28" s="115" t="n">
        <x:v>0</x:v>
      </x:c>
      <x:c r="P28" s="115" t="n">
        <x:v>0</x:v>
      </x:c>
      <x:c r="Q28" s="115" t="n">
        <x:v>0</x:v>
      </x:c>
      <x:c r="R28" s="115" t="n">
        <x:v>0</x:v>
      </x:c>
      <x:c r="S28" s="115" t="n">
        <x:v>0</x:v>
      </x:c>
    </x:row>
    <x:row r="29" ht="16.799999237060547">
      <x:c r="A29" s="55" t="str">
        <x:v>PB04</x:v>
      </x:c>
      <x:c r="B29" s="75" t="str">
        <x:v>Create unit-test foundation</x:v>
      </x:c>
      <x:c r="C29" s="76"/>
      <x:c r="D29" s="59" t="str">
        <x:v>Vuong</x:v>
      </x:c>
      <x:c r="E29" s="58" t="n">
        <x:v>2</x:v>
      </x:c>
      <x:c r="F29" s="115" t="n">
        <x:v>2</x:v>
      </x:c>
      <x:c r="G29" s="115" t="n">
        <x:v>2</x:v>
      </x:c>
      <x:c r="H29" s="115" t="n">
        <x:v>2</x:v>
      </x:c>
      <x:c r="I29" s="115" t="n">
        <x:v>1</x:v>
      </x:c>
      <x:c r="J29" s="120" t="n">
        <x:v>0</x:v>
      </x:c>
      <x:c r="K29" s="115" t="n">
        <x:v>0</x:v>
      </x:c>
      <x:c r="L29" s="115" t="n">
        <x:v>0</x:v>
      </x:c>
      <x:c r="M29" s="115" t="n">
        <x:v>0</x:v>
      </x:c>
      <x:c r="N29" s="115" t="n">
        <x:v>0</x:v>
      </x:c>
      <x:c r="O29" s="115" t="n">
        <x:v>0</x:v>
      </x:c>
      <x:c r="P29" s="115" t="n">
        <x:v>0</x:v>
      </x:c>
      <x:c r="Q29" s="115" t="n">
        <x:v>0</x:v>
      </x:c>
      <x:c r="R29" s="115" t="n">
        <x:v>0</x:v>
      </x:c>
      <x:c r="S29" s="115" t="n">
        <x:v>0</x:v>
      </x:c>
    </x:row>
    <x:row r="30" ht="16.799999237060547">
      <x:c r="A30" s="55" t="str">
        <x:v>PB04</x:v>
      </x:c>
      <x:c r="B30" s="75" t="str">
        <x:v>Configure linting and quality checks</x:v>
      </x:c>
      <x:c r="C30" s="76"/>
      <x:c r="D30" s="59" t="str">
        <x:v>Nguyen</x:v>
      </x:c>
      <x:c r="E30" s="58" t="n">
        <x:v>1</x:v>
      </x:c>
      <x:c r="F30" s="115" t="n">
        <x:v>1</x:v>
      </x:c>
      <x:c r="G30" s="115" t="n">
        <x:v>1</x:v>
      </x:c>
      <x:c r="H30" s="115" t="n">
        <x:v>1</x:v>
      </x:c>
      <x:c r="I30" s="115" t="n">
        <x:v>1</x:v>
      </x:c>
      <x:c r="J30" s="120" t="n">
        <x:v>0</x:v>
      </x:c>
      <x:c r="K30" s="115" t="n">
        <x:v>0</x:v>
      </x:c>
      <x:c r="L30" s="115" t="n">
        <x:v>0</x:v>
      </x:c>
      <x:c r="M30" s="115" t="n">
        <x:v>0</x:v>
      </x:c>
      <x:c r="N30" s="115" t="n">
        <x:v>0</x:v>
      </x:c>
      <x:c r="O30" s="115" t="n">
        <x:v>0</x:v>
      </x:c>
      <x:c r="P30" s="115" t="n">
        <x:v>0</x:v>
      </x:c>
      <x:c r="Q30" s="115" t="n">
        <x:v>0</x:v>
      </x:c>
      <x:c r="R30" s="115" t="n">
        <x:v>0</x:v>
      </x:c>
      <x:c r="S30" s="115" t="n">
        <x:v>0</x:v>
      </x:c>
    </x:row>
    <x:row r="31" ht="16.799999237060547">
      <x:c r="A31" s="55" t="str">
        <x:v>PB05</x:v>
      </x:c>
      <x:c r="B31" s="75" t="str">
        <x:v>Implement Registration API</x:v>
      </x:c>
      <x:c r="C31" s="76"/>
      <x:c r="D31" s="59" t="str">
        <x:v>Khoa</x:v>
      </x:c>
      <x:c r="E31" s="58" t="n">
        <x:v>4</x:v>
      </x:c>
      <x:c r="F31" s="115" t="n">
        <x:v>4</x:v>
      </x:c>
      <x:c r="G31" s="115" t="n">
        <x:v>4</x:v>
      </x:c>
      <x:c r="H31" s="115" t="n">
        <x:v>4</x:v>
      </x:c>
      <x:c r="I31" s="115" t="n">
        <x:v>4</x:v>
      </x:c>
      <x:c r="J31" s="115" t="n">
        <x:v>2</x:v>
      </x:c>
      <x:c r="K31" s="120" t="n">
        <x:v>0</x:v>
      </x:c>
      <x:c r="L31" s="115" t="n">
        <x:v>0</x:v>
      </x:c>
      <x:c r="M31" s="115" t="n">
        <x:v>0</x:v>
      </x:c>
      <x:c r="N31" s="115" t="n">
        <x:v>0</x:v>
      </x:c>
      <x:c r="O31" s="115" t="n">
        <x:v>0</x:v>
      </x:c>
      <x:c r="P31" s="115" t="n">
        <x:v>0</x:v>
      </x:c>
      <x:c r="Q31" s="115" t="n">
        <x:v>0</x:v>
      </x:c>
      <x:c r="R31" s="115" t="n">
        <x:v>0</x:v>
      </x:c>
      <x:c r="S31" s="115" t="n">
        <x:v>0</x:v>
      </x:c>
    </x:row>
    <x:row r="32" ht="16.799999237060547">
      <x:c r="A32" s="55" t="str">
        <x:v>PB05</x:v>
      </x:c>
      <x:c r="B32" s="73" t="str">
        <x:v>Build Registration UI</x:v>
      </x:c>
      <x:c r="C32" s="74"/>
      <x:c r="D32" s="59" t="str">
        <x:v>Hung</x:v>
      </x:c>
      <x:c r="E32" s="58" t="n">
        <x:v>3</x:v>
      </x:c>
      <x:c r="F32" s="115" t="n">
        <x:v>3</x:v>
      </x:c>
      <x:c r="G32" s="115" t="n">
        <x:v>3</x:v>
      </x:c>
      <x:c r="H32" s="115" t="n">
        <x:v>3</x:v>
      </x:c>
      <x:c r="I32" s="115" t="n">
        <x:v>3</x:v>
      </x:c>
      <x:c r="J32" s="115" t="n">
        <x:v>3</x:v>
      </x:c>
      <x:c r="K32" s="115" t="n">
        <x:v>2</x:v>
      </x:c>
      <x:c r="L32" s="120" t="n">
        <x:v>0</x:v>
      </x:c>
      <x:c r="M32" s="115" t="n">
        <x:v>0</x:v>
      </x:c>
      <x:c r="N32" s="115" t="n">
        <x:v>0</x:v>
      </x:c>
      <x:c r="O32" s="115" t="n">
        <x:v>0</x:v>
      </x:c>
      <x:c r="P32" s="115" t="n">
        <x:v>0</x:v>
      </x:c>
      <x:c r="Q32" s="115" t="n">
        <x:v>0</x:v>
      </x:c>
      <x:c r="R32" s="115" t="n">
        <x:v>0</x:v>
      </x:c>
      <x:c r="S32" s="115" t="n">
        <x:v>0</x:v>
      </x:c>
    </x:row>
    <x:row r="33" ht="16.799999237060547">
      <x:c r="A33" s="55" t="str">
        <x:v>PB05</x:v>
      </x:c>
      <x:c r="B33" s="77" t="str">
        <x:v>Validate registration inputs and errors</x:v>
      </x:c>
      <x:c r="C33" s="76"/>
      <x:c r="D33" s="55" t="str">
        <x:v>Vuong</x:v>
      </x:c>
      <x:c r="E33" s="58" t="n">
        <x:v>3</x:v>
      </x:c>
      <x:c r="F33" s="115" t="n">
        <x:v>3</x:v>
      </x:c>
      <x:c r="G33" s="115" t="n">
        <x:v>3</x:v>
      </x:c>
      <x:c r="H33" s="115" t="n">
        <x:v>3</x:v>
      </x:c>
      <x:c r="I33" s="115" t="n">
        <x:v>3</x:v>
      </x:c>
      <x:c r="J33" s="115" t="n">
        <x:v>3</x:v>
      </x:c>
      <x:c r="K33" s="115" t="n">
        <x:v>2</x:v>
      </x:c>
      <x:c r="L33" s="120" t="n">
        <x:v>0</x:v>
      </x:c>
      <x:c r="M33" s="115" t="n">
        <x:v>0</x:v>
      </x:c>
      <x:c r="N33" s="115" t="n">
        <x:v>0</x:v>
      </x:c>
      <x:c r="O33" s="115" t="n">
        <x:v>0</x:v>
      </x:c>
      <x:c r="P33" s="115" t="n">
        <x:v>0</x:v>
      </x:c>
      <x:c r="Q33" s="115" t="n">
        <x:v>0</x:v>
      </x:c>
      <x:c r="R33" s="115" t="n">
        <x:v>0</x:v>
      </x:c>
      <x:c r="S33" s="115" t="n">
        <x:v>0</x:v>
      </x:c>
    </x:row>
    <x:row r="34" ht="16.799999237060547">
      <x:c r="A34" s="55" t="str">
        <x:v>PB06</x:v>
      </x:c>
      <x:c r="B34" s="73" t="str">
        <x:v>Implement Login API</x:v>
      </x:c>
      <x:c r="C34" s="74"/>
      <x:c r="D34" s="59" t="str">
        <x:v>Khoa</x:v>
      </x:c>
      <x:c r="E34" s="58" t="n">
        <x:v>4</x:v>
      </x:c>
      <x:c r="F34" s="115" t="n">
        <x:v>4</x:v>
      </x:c>
      <x:c r="G34" s="115" t="n">
        <x:v>4</x:v>
      </x:c>
      <x:c r="H34" s="115" t="n">
        <x:v>4</x:v>
      </x:c>
      <x:c r="I34" s="115" t="n">
        <x:v>4</x:v>
      </x:c>
      <x:c r="J34" s="115" t="n">
        <x:v>4</x:v>
      </x:c>
      <x:c r="K34" s="115" t="n">
        <x:v>4</x:v>
      </x:c>
      <x:c r="L34" s="115" t="n">
        <x:v>2</x:v>
      </x:c>
      <x:c r="M34" s="120" t="n">
        <x:v>0</x:v>
      </x:c>
      <x:c r="N34" s="115" t="n">
        <x:v>0</x:v>
      </x:c>
      <x:c r="O34" s="115" t="n">
        <x:v>0</x:v>
      </x:c>
      <x:c r="P34" s="115" t="n">
        <x:v>0</x:v>
      </x:c>
      <x:c r="Q34" s="115" t="n">
        <x:v>0</x:v>
      </x:c>
      <x:c r="R34" s="115" t="n">
        <x:v>0</x:v>
      </x:c>
      <x:c r="S34" s="115" t="n">
        <x:v>0</x:v>
      </x:c>
    </x:row>
    <x:row r="35" ht="16.799999237060547">
      <x:c r="A35" s="55" t="str">
        <x:v>PB06</x:v>
      </x:c>
      <x:c r="B35" s="73" t="str">
        <x:v>Build Login UI</x:v>
      </x:c>
      <x:c r="C35" s="74"/>
      <x:c r="D35" s="59" t="str">
        <x:v>Hung</x:v>
      </x:c>
      <x:c r="E35" s="58" t="n">
        <x:v>3</x:v>
      </x:c>
      <x:c r="F35" s="115" t="n">
        <x:v>3</x:v>
      </x:c>
      <x:c r="G35" s="115" t="n">
        <x:v>3</x:v>
      </x:c>
      <x:c r="H35" s="115" t="n">
        <x:v>3</x:v>
      </x:c>
      <x:c r="I35" s="115" t="n">
        <x:v>3</x:v>
      </x:c>
      <x:c r="J35" s="115" t="n">
        <x:v>3</x:v>
      </x:c>
      <x:c r="K35" s="115" t="n">
        <x:v>3</x:v>
      </x:c>
      <x:c r="L35" s="115" t="n">
        <x:v>2</x:v>
      </x:c>
      <x:c r="M35" s="120" t="n">
        <x:v>0</x:v>
      </x:c>
      <x:c r="N35" s="115" t="n">
        <x:v>0</x:v>
      </x:c>
      <x:c r="O35" s="115" t="n">
        <x:v>0</x:v>
      </x:c>
      <x:c r="P35" s="115" t="n">
        <x:v>0</x:v>
      </x:c>
      <x:c r="Q35" s="115" t="n">
        <x:v>0</x:v>
      </x:c>
      <x:c r="R35" s="115" t="n">
        <x:v>0</x:v>
      </x:c>
      <x:c r="S35" s="115" t="n">
        <x:v>0</x:v>
      </x:c>
    </x:row>
    <x:row r="36" ht="16.799999237060547">
      <x:c r="A36" s="55" t="str">
        <x:v>PB06</x:v>
      </x:c>
      <x:c r="B36" s="73" t="str">
        <x:v>Implement logout and session handling</x:v>
      </x:c>
      <x:c r="C36" s="74"/>
      <x:c r="D36" s="55" t="str">
        <x:v>Hung</x:v>
      </x:c>
      <x:c r="E36" s="58" t="n">
        <x:v>3</x:v>
      </x:c>
      <x:c r="F36" s="115" t="n">
        <x:v>3</x:v>
      </x:c>
      <x:c r="G36" s="115" t="n">
        <x:v>3</x:v>
      </x:c>
      <x:c r="H36" s="115" t="n">
        <x:v>3</x:v>
      </x:c>
      <x:c r="I36" s="115" t="n">
        <x:v>3</x:v>
      </x:c>
      <x:c r="J36" s="115" t="n">
        <x:v>3</x:v>
      </x:c>
      <x:c r="K36" s="115" t="n">
        <x:v>3</x:v>
      </x:c>
      <x:c r="L36" s="115" t="n">
        <x:v>2</x:v>
      </x:c>
      <x:c r="M36" s="120" t="n">
        <x:v>0</x:v>
      </x:c>
      <x:c r="N36" s="115" t="n">
        <x:v>0</x:v>
      </x:c>
      <x:c r="O36" s="115" t="n">
        <x:v>0</x:v>
      </x:c>
      <x:c r="P36" s="115" t="n">
        <x:v>0</x:v>
      </x:c>
      <x:c r="Q36" s="115" t="n">
        <x:v>0</x:v>
      </x:c>
      <x:c r="R36" s="115" t="n">
        <x:v>0</x:v>
      </x:c>
      <x:c r="S36" s="115" t="n">
        <x:v>0</x:v>
      </x:c>
    </x:row>
    <x:row r="37" ht="16.799999237060547">
      <x:c r="A37" s="55" t="str">
        <x:v>PB07</x:v>
      </x:c>
      <x:c r="B37" s="73" t="str">
        <x:v>Implement password-reset token and API</x:v>
      </x:c>
      <x:c r="C37" s="74"/>
      <x:c r="D37" s="55" t="str">
        <x:v>Khoa</x:v>
      </x:c>
      <x:c r="E37" s="58" t="n">
        <x:v>3</x:v>
      </x:c>
      <x:c r="F37" s="115" t="n">
        <x:v>3</x:v>
      </x:c>
      <x:c r="G37" s="115" t="n">
        <x:v>3</x:v>
      </x:c>
      <x:c r="H37" s="115" t="n">
        <x:v>3</x:v>
      </x:c>
      <x:c r="I37" s="115" t="n">
        <x:v>3</x:v>
      </x:c>
      <x:c r="J37" s="115" t="n">
        <x:v>3</x:v>
      </x:c>
      <x:c r="K37" s="115" t="n">
        <x:v>3</x:v>
      </x:c>
      <x:c r="L37" s="115" t="n">
        <x:v>3</x:v>
      </x:c>
      <x:c r="M37" s="115" t="n">
        <x:v>2</x:v>
      </x:c>
      <x:c r="N37" s="120" t="n">
        <x:v>0</x:v>
      </x:c>
      <x:c r="O37" s="115" t="n">
        <x:v>0</x:v>
      </x:c>
      <x:c r="P37" s="115" t="n">
        <x:v>0</x:v>
      </x:c>
      <x:c r="Q37" s="115" t="n">
        <x:v>0</x:v>
      </x:c>
      <x:c r="R37" s="115" t="n">
        <x:v>0</x:v>
      </x:c>
      <x:c r="S37" s="115" t="n">
        <x:v>0</x:v>
      </x:c>
    </x:row>
    <x:row r="38" ht="16.799999237060547">
      <x:c r="A38" s="55" t="str">
        <x:v>PB07</x:v>
      </x:c>
      <x:c r="B38" s="73" t="str">
        <x:v>Build password recovery UI and email flow</x:v>
      </x:c>
      <x:c r="C38" s="74"/>
      <x:c r="D38" s="55" t="str">
        <x:v>Hung</x:v>
      </x:c>
      <x:c r="E38" s="58" t="n">
        <x:v>2</x:v>
      </x:c>
      <x:c r="F38" s="115" t="n">
        <x:v>2</x:v>
      </x:c>
      <x:c r="G38" s="115" t="n">
        <x:v>2</x:v>
      </x:c>
      <x:c r="H38" s="115" t="n">
        <x:v>2</x:v>
      </x:c>
      <x:c r="I38" s="115" t="n">
        <x:v>2</x:v>
      </x:c>
      <x:c r="J38" s="115" t="n">
        <x:v>2</x:v>
      </x:c>
      <x:c r="K38" s="115" t="n">
        <x:v>2</x:v>
      </x:c>
      <x:c r="L38" s="115" t="n">
        <x:v>2</x:v>
      </x:c>
      <x:c r="M38" s="115" t="n">
        <x:v>1</x:v>
      </x:c>
      <x:c r="N38" s="120" t="n">
        <x:v>0</x:v>
      </x:c>
      <x:c r="O38" s="115" t="n">
        <x:v>0</x:v>
      </x:c>
      <x:c r="P38" s="115" t="n">
        <x:v>0</x:v>
      </x:c>
      <x:c r="Q38" s="115" t="n">
        <x:v>0</x:v>
      </x:c>
      <x:c r="R38" s="115" t="n">
        <x:v>0</x:v>
      </x:c>
      <x:c r="S38" s="115" t="n">
        <x:v>0</x:v>
      </x:c>
    </x:row>
    <x:row r="39" ht="16.799999237060547">
      <x:c r="A39" s="55" t="str">
        <x:v>PB07</x:v>
      </x:c>
      <x:c r="B39" s="73" t="str">
        <x:v>Test password recovery</x:v>
      </x:c>
      <x:c r="C39" s="74"/>
      <x:c r="D39" s="55" t="str">
        <x:v>Vuong</x:v>
      </x:c>
      <x:c r="E39" s="58" t="n">
        <x:v>1</x:v>
      </x:c>
      <x:c r="F39" s="115" t="n">
        <x:v>1</x:v>
      </x:c>
      <x:c r="G39" s="115" t="n">
        <x:v>1</x:v>
      </x:c>
      <x:c r="H39" s="115" t="n">
        <x:v>1</x:v>
      </x:c>
      <x:c r="I39" s="115" t="n">
        <x:v>1</x:v>
      </x:c>
      <x:c r="J39" s="115" t="n">
        <x:v>1</x:v>
      </x:c>
      <x:c r="K39" s="115" t="n">
        <x:v>1</x:v>
      </x:c>
      <x:c r="L39" s="115" t="n">
        <x:v>1</x:v>
      </x:c>
      <x:c r="M39" s="115" t="n">
        <x:v>1</x:v>
      </x:c>
      <x:c r="N39" s="120" t="n">
        <x:v>0</x:v>
      </x:c>
      <x:c r="O39" s="115" t="n">
        <x:v>0</x:v>
      </x:c>
      <x:c r="P39" s="115" t="n">
        <x:v>0</x:v>
      </x:c>
      <x:c r="Q39" s="115" t="n">
        <x:v>0</x:v>
      </x:c>
      <x:c r="R39" s="115" t="n">
        <x:v>0</x:v>
      </x:c>
      <x:c r="S39" s="115" t="n">
        <x:v>0</x:v>
      </x:c>
    </x:row>
    <x:row r="40" ht="16.799999237060547">
      <x:c r="A40" s="55" t="str">
        <x:v>PB08</x:v>
      </x:c>
      <x:c r="B40" s="73" t="str">
        <x:v>Create role and permission schema</x:v>
      </x:c>
      <x:c r="C40" s="74"/>
      <x:c r="D40" s="55" t="str">
        <x:v>Khoa</x:v>
      </x:c>
      <x:c r="E40" s="58" t="n">
        <x:v>3</x:v>
      </x:c>
      <x:c r="F40" s="115" t="n">
        <x:v>3</x:v>
      </x:c>
      <x:c r="G40" s="115" t="n">
        <x:v>3</x:v>
      </x:c>
      <x:c r="H40" s="115" t="n">
        <x:v>3</x:v>
      </x:c>
      <x:c r="I40" s="115" t="n">
        <x:v>3</x:v>
      </x:c>
      <x:c r="J40" s="115" t="n">
        <x:v>3</x:v>
      </x:c>
      <x:c r="K40" s="115" t="n">
        <x:v>3</x:v>
      </x:c>
      <x:c r="L40" s="115" t="n">
        <x:v>3</x:v>
      </x:c>
      <x:c r="M40" s="115" t="n">
        <x:v>2</x:v>
      </x:c>
      <x:c r="N40" s="120" t="n">
        <x:v>0</x:v>
      </x:c>
      <x:c r="O40" s="115" t="n">
        <x:v>0</x:v>
      </x:c>
      <x:c r="P40" s="115" t="n">
        <x:v>0</x:v>
      </x:c>
      <x:c r="Q40" s="115" t="n">
        <x:v>0</x:v>
      </x:c>
      <x:c r="R40" s="115" t="n">
        <x:v>0</x:v>
      </x:c>
      <x:c r="S40" s="115" t="n">
        <x:v>0</x:v>
      </x:c>
    </x:row>
    <x:row r="41" ht="16.799999237060547">
      <x:c r="A41" s="55" t="str">
        <x:v>PB08</x:v>
      </x:c>
      <x:c r="B41" s="73" t="str">
        <x:v>Implement RBAC middleware</x:v>
      </x:c>
      <x:c r="C41" s="74"/>
      <x:c r="D41" s="55" t="str">
        <x:v>Khoa</x:v>
      </x:c>
      <x:c r="E41" s="58" t="n">
        <x:v>4</x:v>
      </x:c>
      <x:c r="F41" s="115" t="n">
        <x:v>4</x:v>
      </x:c>
      <x:c r="G41" s="115" t="n">
        <x:v>4</x:v>
      </x:c>
      <x:c r="H41" s="115" t="n">
        <x:v>4</x:v>
      </x:c>
      <x:c r="I41" s="115" t="n">
        <x:v>4</x:v>
      </x:c>
      <x:c r="J41" s="115" t="n">
        <x:v>4</x:v>
      </x:c>
      <x:c r="K41" s="115" t="n">
        <x:v>4</x:v>
      </x:c>
      <x:c r="L41" s="115" t="n">
        <x:v>4</x:v>
      </x:c>
      <x:c r="M41" s="115" t="n">
        <x:v>4</x:v>
      </x:c>
      <x:c r="N41" s="115" t="n">
        <x:v>2</x:v>
      </x:c>
      <x:c r="O41" s="120" t="n">
        <x:v>0</x:v>
      </x:c>
      <x:c r="P41" s="115" t="n">
        <x:v>0</x:v>
      </x:c>
      <x:c r="Q41" s="115" t="n">
        <x:v>0</x:v>
      </x:c>
      <x:c r="R41" s="115" t="n">
        <x:v>0</x:v>
      </x:c>
      <x:c r="S41" s="115" t="n">
        <x:v>0</x:v>
      </x:c>
    </x:row>
    <x:row r="42" ht="16.799999237060547">
      <x:c r="A42" s="55" t="str">
        <x:v>PB08</x:v>
      </x:c>
      <x:c r="B42" s="73" t="str">
        <x:v>Test authorization rules</x:v>
      </x:c>
      <x:c r="C42" s="74"/>
      <x:c r="D42" s="55" t="str">
        <x:v>Vuong</x:v>
      </x:c>
      <x:c r="E42" s="58" t="n">
        <x:v>3</x:v>
      </x:c>
      <x:c r="F42" s="115" t="n">
        <x:v>3</x:v>
      </x:c>
      <x:c r="G42" s="115" t="n">
        <x:v>3</x:v>
      </x:c>
      <x:c r="H42" s="115" t="n">
        <x:v>3</x:v>
      </x:c>
      <x:c r="I42" s="115" t="n">
        <x:v>3</x:v>
      </x:c>
      <x:c r="J42" s="115" t="n">
        <x:v>3</x:v>
      </x:c>
      <x:c r="K42" s="115" t="n">
        <x:v>3</x:v>
      </x:c>
      <x:c r="L42" s="115" t="n">
        <x:v>3</x:v>
      </x:c>
      <x:c r="M42" s="115" t="n">
        <x:v>3</x:v>
      </x:c>
      <x:c r="N42" s="115" t="n">
        <x:v>2</x:v>
      </x:c>
      <x:c r="O42" s="120" t="n">
        <x:v>0</x:v>
      </x:c>
      <x:c r="P42" s="115" t="n">
        <x:v>0</x:v>
      </x:c>
      <x:c r="Q42" s="115" t="n">
        <x:v>0</x:v>
      </x:c>
      <x:c r="R42" s="115" t="n">
        <x:v>0</x:v>
      </x:c>
      <x:c r="S42" s="115" t="n">
        <x:v>0</x:v>
      </x:c>
    </x:row>
    <x:row r="43" ht="16.799999237060547">
      <x:c r="A43" s="55" t="str">
        <x:v>PB09</x:v>
      </x:c>
      <x:c r="B43" s="73" t="str">
        <x:v>Implement account list and detail API</x:v>
      </x:c>
      <x:c r="C43" s="74"/>
      <x:c r="D43" s="55" t="str">
        <x:v>Vuong</x:v>
      </x:c>
      <x:c r="E43" s="58" t="n">
        <x:v>3</x:v>
      </x:c>
      <x:c r="F43" s="115" t="n">
        <x:v>3</x:v>
      </x:c>
      <x:c r="G43" s="115" t="n">
        <x:v>3</x:v>
      </x:c>
      <x:c r="H43" s="115" t="n">
        <x:v>3</x:v>
      </x:c>
      <x:c r="I43" s="115" t="n">
        <x:v>3</x:v>
      </x:c>
      <x:c r="J43" s="115" t="n">
        <x:v>3</x:v>
      </x:c>
      <x:c r="K43" s="115" t="n">
        <x:v>3</x:v>
      </x:c>
      <x:c r="L43" s="115" t="n">
        <x:v>3</x:v>
      </x:c>
      <x:c r="M43" s="115" t="n">
        <x:v>3</x:v>
      </x:c>
      <x:c r="N43" s="115" t="n">
        <x:v>3</x:v>
      </x:c>
      <x:c r="O43" s="115" t="n">
        <x:v>2</x:v>
      </x:c>
      <x:c r="P43" s="120" t="n">
        <x:v>0</x:v>
      </x:c>
      <x:c r="Q43" s="115" t="n">
        <x:v>0</x:v>
      </x:c>
      <x:c r="R43" s="115" t="n">
        <x:v>0</x:v>
      </x:c>
      <x:c r="S43" s="115" t="n">
        <x:v>0</x:v>
      </x:c>
    </x:row>
    <x:row r="44" ht="16.799999237060547">
      <x:c r="A44" s="55" t="str">
        <x:v>PB09</x:v>
      </x:c>
      <x:c r="B44" s="73" t="str">
        <x:v>Implement role assignment and update</x:v>
      </x:c>
      <x:c r="C44" s="74"/>
      <x:c r="D44" s="55" t="str">
        <x:v>Nguyen</x:v>
      </x:c>
      <x:c r="E44" s="58" t="n">
        <x:v>3</x:v>
      </x:c>
      <x:c r="F44" s="115" t="n">
        <x:v>3</x:v>
      </x:c>
      <x:c r="G44" s="115" t="n">
        <x:v>3</x:v>
      </x:c>
      <x:c r="H44" s="115" t="n">
        <x:v>3</x:v>
      </x:c>
      <x:c r="I44" s="115" t="n">
        <x:v>3</x:v>
      </x:c>
      <x:c r="J44" s="115" t="n">
        <x:v>3</x:v>
      </x:c>
      <x:c r="K44" s="115" t="n">
        <x:v>3</x:v>
      </x:c>
      <x:c r="L44" s="115" t="n">
        <x:v>3</x:v>
      </x:c>
      <x:c r="M44" s="115" t="n">
        <x:v>3</x:v>
      </x:c>
      <x:c r="N44" s="115" t="n">
        <x:v>3</x:v>
      </x:c>
      <x:c r="O44" s="115" t="n">
        <x:v>2</x:v>
      </x:c>
      <x:c r="P44" s="120" t="n">
        <x:v>0</x:v>
      </x:c>
      <x:c r="Q44" s="115" t="n">
        <x:v>0</x:v>
      </x:c>
      <x:c r="R44" s="115" t="n">
        <x:v>0</x:v>
      </x:c>
      <x:c r="S44" s="115" t="n">
        <x:v>0</x:v>
      </x:c>
    </x:row>
    <x:row r="45" ht="16.799999237060547">
      <x:c r="A45" s="55" t="str">
        <x:v>PB09</x:v>
      </x:c>
      <x:c r="B45" s="73" t="str">
        <x:v>Test account and role management</x:v>
      </x:c>
      <x:c r="C45" s="74"/>
      <x:c r="D45" s="55" t="str">
        <x:v>Vuong</x:v>
      </x:c>
      <x:c r="E45" s="58" t="n">
        <x:v>2</x:v>
      </x:c>
      <x:c r="F45" s="115" t="n">
        <x:v>2</x:v>
      </x:c>
      <x:c r="G45" s="115" t="n">
        <x:v>2</x:v>
      </x:c>
      <x:c r="H45" s="115" t="n">
        <x:v>2</x:v>
      </x:c>
      <x:c r="I45" s="115" t="n">
        <x:v>2</x:v>
      </x:c>
      <x:c r="J45" s="115" t="n">
        <x:v>2</x:v>
      </x:c>
      <x:c r="K45" s="115" t="n">
        <x:v>2</x:v>
      </x:c>
      <x:c r="L45" s="115" t="n">
        <x:v>2</x:v>
      </x:c>
      <x:c r="M45" s="115" t="n">
        <x:v>2</x:v>
      </x:c>
      <x:c r="N45" s="115" t="n">
        <x:v>2</x:v>
      </x:c>
      <x:c r="O45" s="115" t="n">
        <x:v>2</x:v>
      </x:c>
      <x:c r="P45" s="115" t="n">
        <x:v>1</x:v>
      </x:c>
      <x:c r="Q45" s="120" t="n">
        <x:v>0</x:v>
      </x:c>
      <x:c r="R45" s="115" t="n">
        <x:v>0</x:v>
      </x:c>
      <x:c r="S45" s="115" t="n">
        <x:v>0</x:v>
      </x:c>
    </x:row>
    <x:row r="46" ht="16.799999237060547">
      <x:c r="A46" s="55" t="str">
        <x:v>PB10</x:v>
      </x:c>
      <x:c r="B46" s="73" t="str">
        <x:v>Implement Course CRUD API</x:v>
      </x:c>
      <x:c r="C46" s="74"/>
      <x:c r="D46" s="55" t="str">
        <x:v>Hung</x:v>
      </x:c>
      <x:c r="E46" s="58" t="n">
        <x:v>5</x:v>
      </x:c>
      <x:c r="F46" s="115" t="n">
        <x:v>5</x:v>
      </x:c>
      <x:c r="G46" s="115" t="n">
        <x:v>5</x:v>
      </x:c>
      <x:c r="H46" s="115" t="n">
        <x:v>5</x:v>
      </x:c>
      <x:c r="I46" s="115" t="n">
        <x:v>5</x:v>
      </x:c>
      <x:c r="J46" s="115" t="n">
        <x:v>5</x:v>
      </x:c>
      <x:c r="K46" s="115" t="n">
        <x:v>5</x:v>
      </x:c>
      <x:c r="L46" s="115" t="n">
        <x:v>5</x:v>
      </x:c>
      <x:c r="M46" s="115" t="n">
        <x:v>5</x:v>
      </x:c>
      <x:c r="N46" s="115" t="n">
        <x:v>5</x:v>
      </x:c>
      <x:c r="O46" s="115" t="n">
        <x:v>4</x:v>
      </x:c>
      <x:c r="P46" s="115" t="n">
        <x:v>2</x:v>
      </x:c>
      <x:c r="Q46" s="120" t="n">
        <x:v>0</x:v>
      </x:c>
      <x:c r="R46" s="115" t="n">
        <x:v>0</x:v>
      </x:c>
      <x:c r="S46" s="115" t="n">
        <x:v>0</x:v>
      </x:c>
    </x:row>
    <x:row r="47" ht="16.799999237060547">
      <x:c r="A47" s="55" t="str">
        <x:v>PB10</x:v>
      </x:c>
      <x:c r="B47" s="73" t="str">
        <x:v>Build Lecturer course management UI</x:v>
      </x:c>
      <x:c r="C47" s="74"/>
      <x:c r="D47" s="55" t="str">
        <x:v>Hung</x:v>
      </x:c>
      <x:c r="E47" s="58" t="n">
        <x:v>4</x:v>
      </x:c>
      <x:c r="F47" s="115" t="n">
        <x:v>4</x:v>
      </x:c>
      <x:c r="G47" s="115" t="n">
        <x:v>4</x:v>
      </x:c>
      <x:c r="H47" s="115" t="n">
        <x:v>4</x:v>
      </x:c>
      <x:c r="I47" s="115" t="n">
        <x:v>4</x:v>
      </x:c>
      <x:c r="J47" s="115" t="n">
        <x:v>4</x:v>
      </x:c>
      <x:c r="K47" s="115" t="n">
        <x:v>4</x:v>
      </x:c>
      <x:c r="L47" s="115" t="n">
        <x:v>4</x:v>
      </x:c>
      <x:c r="M47" s="115" t="n">
        <x:v>4</x:v>
      </x:c>
      <x:c r="N47" s="115" t="n">
        <x:v>4</x:v>
      </x:c>
      <x:c r="O47" s="115" t="n">
        <x:v>4</x:v>
      </x:c>
      <x:c r="P47" s="115" t="n">
        <x:v>4</x:v>
      </x:c>
      <x:c r="Q47" s="115" t="n">
        <x:v>2</x:v>
      </x:c>
      <x:c r="R47" s="120" t="n">
        <x:v>0</x:v>
      </x:c>
      <x:c r="S47" s="115" t="n">
        <x:v>0</x:v>
      </x:c>
    </x:row>
    <x:row r="48" ht="16.799999237060547">
      <x:c r="A48" s="55" t="str">
        <x:v>PB10</x:v>
      </x:c>
      <x:c r="B48" s="73" t="str">
        <x:v>Test course management integration</x:v>
      </x:c>
      <x:c r="C48" s="74"/>
      <x:c r="D48" s="55" t="str">
        <x:v>Hung</x:v>
      </x:c>
      <x:c r="E48" s="58" t="n">
        <x:v>3</x:v>
      </x:c>
      <x:c r="F48" s="115" t="n">
        <x:v>3</x:v>
      </x:c>
      <x:c r="G48" s="115" t="n">
        <x:v>3</x:v>
      </x:c>
      <x:c r="H48" s="115" t="n">
        <x:v>3</x:v>
      </x:c>
      <x:c r="I48" s="115" t="n">
        <x:v>3</x:v>
      </x:c>
      <x:c r="J48" s="115" t="n">
        <x:v>3</x:v>
      </x:c>
      <x:c r="K48" s="115" t="n">
        <x:v>3</x:v>
      </x:c>
      <x:c r="L48" s="115" t="n">
        <x:v>3</x:v>
      </x:c>
      <x:c r="M48" s="115" t="n">
        <x:v>3</x:v>
      </x:c>
      <x:c r="N48" s="115" t="n">
        <x:v>3</x:v>
      </x:c>
      <x:c r="O48" s="115" t="n">
        <x:v>3</x:v>
      </x:c>
      <x:c r="P48" s="115" t="n">
        <x:v>3</x:v>
      </x:c>
      <x:c r="Q48" s="115" t="n">
        <x:v>2</x:v>
      </x:c>
      <x:c r="R48" s="120" t="n">
        <x:v>0</x:v>
      </x:c>
      <x:c r="S48" s="115" t="n">
        <x:v>0</x:v>
      </x:c>
    </x:row>
    <x:row r="49" ht="16.799999237060547">
      <x:c r="A49" s="55" t="str">
        <x:v>PB11</x:v>
      </x:c>
      <x:c r="B49" s="73" t="str">
        <x:v>Create course access and enrollment model</x:v>
      </x:c>
      <x:c r="C49" s="74"/>
      <x:c r="D49" s="55" t="str">
        <x:v>Khoa</x:v>
      </x:c>
      <x:c r="E49" s="58" t="n">
        <x:v>3</x:v>
      </x:c>
      <x:c r="F49" s="115" t="n">
        <x:v>3</x:v>
      </x:c>
      <x:c r="G49" s="115" t="n">
        <x:v>3</x:v>
      </x:c>
      <x:c r="H49" s="115" t="n">
        <x:v>3</x:v>
      </x:c>
      <x:c r="I49" s="115" t="n">
        <x:v>3</x:v>
      </x:c>
      <x:c r="J49" s="115" t="n">
        <x:v>3</x:v>
      </x:c>
      <x:c r="K49" s="115" t="n">
        <x:v>3</x:v>
      </x:c>
      <x:c r="L49" s="115" t="n">
        <x:v>3</x:v>
      </x:c>
      <x:c r="M49" s="115" t="n">
        <x:v>3</x:v>
      </x:c>
      <x:c r="N49" s="115" t="n">
        <x:v>3</x:v>
      </x:c>
      <x:c r="O49" s="115" t="n">
        <x:v>3</x:v>
      </x:c>
      <x:c r="P49" s="115" t="n">
        <x:v>2</x:v>
      </x:c>
      <x:c r="Q49" s="120" t="n">
        <x:v>0</x:v>
      </x:c>
      <x:c r="R49" s="115" t="n">
        <x:v>0</x:v>
      </x:c>
      <x:c r="S49" s="115" t="n">
        <x:v>0</x:v>
      </x:c>
    </x:row>
    <x:row r="50" ht="16.799999237060547">
      <x:c r="A50" s="55" t="str">
        <x:v>PB11</x:v>
      </x:c>
      <x:c r="B50" s="73" t="str">
        <x:v>Implement course access middleware</x:v>
      </x:c>
      <x:c r="C50" s="74"/>
      <x:c r="D50" s="55" t="str">
        <x:v>Vuong</x:v>
      </x:c>
      <x:c r="E50" s="58" t="n">
        <x:v>3</x:v>
      </x:c>
      <x:c r="F50" s="115" t="n">
        <x:v>3</x:v>
      </x:c>
      <x:c r="G50" s="115" t="n">
        <x:v>3</x:v>
      </x:c>
      <x:c r="H50" s="115" t="n">
        <x:v>3</x:v>
      </x:c>
      <x:c r="I50" s="115" t="n">
        <x:v>3</x:v>
      </x:c>
      <x:c r="J50" s="115" t="n">
        <x:v>3</x:v>
      </x:c>
      <x:c r="K50" s="115" t="n">
        <x:v>3</x:v>
      </x:c>
      <x:c r="L50" s="115" t="n">
        <x:v>3</x:v>
      </x:c>
      <x:c r="M50" s="115" t="n">
        <x:v>3</x:v>
      </x:c>
      <x:c r="N50" s="115" t="n">
        <x:v>3</x:v>
      </x:c>
      <x:c r="O50" s="115" t="n">
        <x:v>3</x:v>
      </x:c>
      <x:c r="P50" s="115" t="n">
        <x:v>3</x:v>
      </x:c>
      <x:c r="Q50" s="115" t="n">
        <x:v>2</x:v>
      </x:c>
      <x:c r="R50" s="120" t="n">
        <x:v>0</x:v>
      </x:c>
      <x:c r="S50" s="115" t="n">
        <x:v>0</x:v>
      </x:c>
    </x:row>
    <x:row r="51" ht="16.799999237060547">
      <x:c r="A51" s="55" t="str">
        <x:v>PB11</x:v>
      </x:c>
      <x:c r="B51" s="73" t="str">
        <x:v>Test Lecturer and Student access</x:v>
      </x:c>
      <x:c r="C51" s="74"/>
      <x:c r="D51" s="55" t="str">
        <x:v>Vuong</x:v>
      </x:c>
      <x:c r="E51" s="58" t="n">
        <x:v>2</x:v>
      </x:c>
      <x:c r="F51" s="115" t="n">
        <x:v>2</x:v>
      </x:c>
      <x:c r="G51" s="115" t="n">
        <x:v>2</x:v>
      </x:c>
      <x:c r="H51" s="115" t="n">
        <x:v>2</x:v>
      </x:c>
      <x:c r="I51" s="115" t="n">
        <x:v>2</x:v>
      </x:c>
      <x:c r="J51" s="115" t="n">
        <x:v>2</x:v>
      </x:c>
      <x:c r="K51" s="115" t="n">
        <x:v>2</x:v>
      </x:c>
      <x:c r="L51" s="115" t="n">
        <x:v>2</x:v>
      </x:c>
      <x:c r="M51" s="115" t="n">
        <x:v>2</x:v>
      </x:c>
      <x:c r="N51" s="115" t="n">
        <x:v>2</x:v>
      </x:c>
      <x:c r="O51" s="115" t="n">
        <x:v>2</x:v>
      </x:c>
      <x:c r="P51" s="115" t="n">
        <x:v>2</x:v>
      </x:c>
      <x:c r="Q51" s="115" t="n">
        <x:v>1</x:v>
      </x:c>
      <x:c r="R51" s="120" t="n">
        <x:v>0</x:v>
      </x:c>
      <x:c r="S51" s="115" t="n">
        <x:v>0</x:v>
      </x:c>
    </x:row>
    <x:row r="52" ht="16.799999237060547">
      <x:c r="A52" s="55" t="str">
        <x:v>PB12</x:v>
      </x:c>
      <x:c r="B52" s="73" t="str">
        <x:v>Implement document upload API</x:v>
      </x:c>
      <x:c r="C52" s="74"/>
      <x:c r="D52" s="55" t="str">
        <x:v>Vuong</x:v>
      </x:c>
      <x:c r="E52" s="58" t="n">
        <x:v>4</x:v>
      </x:c>
      <x:c r="F52" s="115" t="n">
        <x:v>4</x:v>
      </x:c>
      <x:c r="G52" s="115" t="n">
        <x:v>4</x:v>
      </x:c>
      <x:c r="H52" s="115" t="n">
        <x:v>4</x:v>
      </x:c>
      <x:c r="I52" s="115" t="n">
        <x:v>4</x:v>
      </x:c>
      <x:c r="J52" s="115" t="n">
        <x:v>4</x:v>
      </x:c>
      <x:c r="K52" s="115" t="n">
        <x:v>4</x:v>
      </x:c>
      <x:c r="L52" s="115" t="n">
        <x:v>4</x:v>
      </x:c>
      <x:c r="M52" s="115" t="n">
        <x:v>4</x:v>
      </x:c>
      <x:c r="N52" s="115" t="n">
        <x:v>4</x:v>
      </x:c>
      <x:c r="O52" s="115" t="n">
        <x:v>4</x:v>
      </x:c>
      <x:c r="P52" s="115" t="n">
        <x:v>4</x:v>
      </x:c>
      <x:c r="Q52" s="115" t="n">
        <x:v>2</x:v>
      </x:c>
      <x:c r="R52" s="120" t="n">
        <x:v>0</x:v>
      </x:c>
      <x:c r="S52" s="115" t="n">
        <x:v>0</x:v>
      </x:c>
    </x:row>
    <x:row r="53" ht="16.799999237060547">
      <x:c r="A53" s="55" t="str">
        <x:v>PB12</x:v>
      </x:c>
      <x:c r="B53" s="73" t="str">
        <x:v>Build document upload UI</x:v>
      </x:c>
      <x:c r="C53" s="74"/>
      <x:c r="D53" s="55" t="str">
        <x:v>Hung</x:v>
      </x:c>
      <x:c r="E53" s="58" t="n">
        <x:v>3</x:v>
      </x:c>
      <x:c r="F53" s="115" t="n">
        <x:v>3</x:v>
      </x:c>
      <x:c r="G53" s="115" t="n">
        <x:v>3</x:v>
      </x:c>
      <x:c r="H53" s="115" t="n">
        <x:v>3</x:v>
      </x:c>
      <x:c r="I53" s="115" t="n">
        <x:v>3</x:v>
      </x:c>
      <x:c r="J53" s="115" t="n">
        <x:v>3</x:v>
      </x:c>
      <x:c r="K53" s="115" t="n">
        <x:v>3</x:v>
      </x:c>
      <x:c r="L53" s="115" t="n">
        <x:v>3</x:v>
      </x:c>
      <x:c r="M53" s="115" t="n">
        <x:v>3</x:v>
      </x:c>
      <x:c r="N53" s="115" t="n">
        <x:v>3</x:v>
      </x:c>
      <x:c r="O53" s="115" t="n">
        <x:v>3</x:v>
      </x:c>
      <x:c r="P53" s="115" t="n">
        <x:v>3</x:v>
      </x:c>
      <x:c r="Q53" s="115" t="n">
        <x:v>3</x:v>
      </x:c>
      <x:c r="R53" s="115" t="n">
        <x:v>2</x:v>
      </x:c>
      <x:c r="S53" s="120" t="n">
        <x:v>0</x:v>
      </x:c>
    </x:row>
    <x:row r="54" ht="16.799999237060547">
      <x:c r="A54" s="55" t="str">
        <x:v>PB12</x:v>
      </x:c>
      <x:c r="B54" s="73" t="str">
        <x:v>Validate file type, size, and upload errors</x:v>
      </x:c>
      <x:c r="C54" s="74"/>
      <x:c r="D54" s="55" t="str">
        <x:v>Vuong</x:v>
      </x:c>
      <x:c r="E54" s="58" t="n">
        <x:v>3</x:v>
      </x:c>
      <x:c r="F54" s="115" t="n">
        <x:v>3</x:v>
      </x:c>
      <x:c r="G54" s="115" t="n">
        <x:v>3</x:v>
      </x:c>
      <x:c r="H54" s="115" t="n">
        <x:v>3</x:v>
      </x:c>
      <x:c r="I54" s="115" t="n">
        <x:v>3</x:v>
      </x:c>
      <x:c r="J54" s="115" t="n">
        <x:v>3</x:v>
      </x:c>
      <x:c r="K54" s="115" t="n">
        <x:v>3</x:v>
      </x:c>
      <x:c r="L54" s="115" t="n">
        <x:v>3</x:v>
      </x:c>
      <x:c r="M54" s="115" t="n">
        <x:v>3</x:v>
      </x:c>
      <x:c r="N54" s="115" t="n">
        <x:v>3</x:v>
      </x:c>
      <x:c r="O54" s="115" t="n">
        <x:v>3</x:v>
      </x:c>
      <x:c r="P54" s="115" t="n">
        <x:v>3</x:v>
      </x:c>
      <x:c r="Q54" s="115" t="n">
        <x:v>3</x:v>
      </x:c>
      <x:c r="R54" s="115" t="n">
        <x:v>2</x:v>
      </x:c>
      <x:c r="S54" s="120" t="n">
        <x:v>0</x:v>
      </x:c>
    </x:row>
    <x:row r="55" ht="16.799999237060547">
      <x:c r="A55" s="55" t="str">
        <x:v>PB13</x:v>
      </x:c>
      <x:c r="B55" s="77" t="str">
        <x:v>Create document metadata schema</x:v>
      </x:c>
      <x:c r="C55" s="76"/>
      <x:c r="D55" s="55" t="str">
        <x:v>Nguyen</x:v>
      </x:c>
      <x:c r="E55" s="58" t="n">
        <x:v>2</x:v>
      </x:c>
      <x:c r="F55" s="115" t="n">
        <x:v>2</x:v>
      </x:c>
      <x:c r="G55" s="115" t="n">
        <x:v>2</x:v>
      </x:c>
      <x:c r="H55" s="115" t="n">
        <x:v>2</x:v>
      </x:c>
      <x:c r="I55" s="115" t="n">
        <x:v>2</x:v>
      </x:c>
      <x:c r="J55" s="115" t="n">
        <x:v>2</x:v>
      </x:c>
      <x:c r="K55" s="115" t="n">
        <x:v>2</x:v>
      </x:c>
      <x:c r="L55" s="115" t="n">
        <x:v>2</x:v>
      </x:c>
      <x:c r="M55" s="115" t="n">
        <x:v>2</x:v>
      </x:c>
      <x:c r="N55" s="115" t="n">
        <x:v>2</x:v>
      </x:c>
      <x:c r="O55" s="115" t="n">
        <x:v>2</x:v>
      </x:c>
      <x:c r="P55" s="115" t="n">
        <x:v>2</x:v>
      </x:c>
      <x:c r="Q55" s="115" t="n">
        <x:v>2</x:v>
      </x:c>
      <x:c r="R55" s="115" t="n">
        <x:v>1</x:v>
      </x:c>
      <x:c r="S55" s="120" t="n">
        <x:v>0</x:v>
      </x:c>
    </x:row>
    <x:row r="56" ht="16.799999237060547">
      <x:c r="A56" s="55" t="str">
        <x:v>PB13</x:v>
      </x:c>
      <x:c r="B56" s="75" t="str">
        <x:v>Implement processing status tracking</x:v>
      </x:c>
      <x:c r="C56" s="76"/>
      <x:c r="D56" s="55" t="str">
        <x:v>Nguyen</x:v>
      </x:c>
      <x:c r="E56" s="58" t="n">
        <x:v>2</x:v>
      </x:c>
      <x:c r="F56" s="115" t="n">
        <x:v>2</x:v>
      </x:c>
      <x:c r="G56" s="115" t="n">
        <x:v>2</x:v>
      </x:c>
      <x:c r="H56" s="115" t="n">
        <x:v>2</x:v>
      </x:c>
      <x:c r="I56" s="115" t="n">
        <x:v>2</x:v>
      </x:c>
      <x:c r="J56" s="115" t="n">
        <x:v>2</x:v>
      </x:c>
      <x:c r="K56" s="115" t="n">
        <x:v>2</x:v>
      </x:c>
      <x:c r="L56" s="115" t="n">
        <x:v>2</x:v>
      </x:c>
      <x:c r="M56" s="115" t="n">
        <x:v>2</x:v>
      </x:c>
      <x:c r="N56" s="115" t="n">
        <x:v>2</x:v>
      </x:c>
      <x:c r="O56" s="115" t="n">
        <x:v>2</x:v>
      </x:c>
      <x:c r="P56" s="115" t="n">
        <x:v>2</x:v>
      </x:c>
      <x:c r="Q56" s="115" t="n">
        <x:v>2</x:v>
      </x:c>
      <x:c r="R56" s="115" t="n">
        <x:v>1</x:v>
      </x:c>
      <x:c r="S56" s="120" t="n">
        <x:v>0</x:v>
      </x:c>
    </x:row>
    <x:row r="57" ht="16.799999237060547">
      <x:c r="A57" s="55" t="str">
        <x:v>PB13</x:v>
      </x:c>
      <x:c r="B57" s="75" t="str">
        <x:v>Display metadata and processing status</x:v>
      </x:c>
      <x:c r="C57" s="76"/>
      <x:c r="D57" s="55" t="str">
        <x:v>Nguyen</x:v>
      </x:c>
      <x:c r="E57" s="58" t="n">
        <x:v>2</x:v>
      </x:c>
      <x:c r="F57" s="115" t="n">
        <x:v>2</x:v>
      </x:c>
      <x:c r="G57" s="115" t="n">
        <x:v>2</x:v>
      </x:c>
      <x:c r="H57" s="115" t="n">
        <x:v>2</x:v>
      </x:c>
      <x:c r="I57" s="115" t="n">
        <x:v>2</x:v>
      </x:c>
      <x:c r="J57" s="115" t="n">
        <x:v>2</x:v>
      </x:c>
      <x:c r="K57" s="115" t="n">
        <x:v>2</x:v>
      </x:c>
      <x:c r="L57" s="115" t="n">
        <x:v>2</x:v>
      </x:c>
      <x:c r="M57" s="115" t="n">
        <x:v>2</x:v>
      </x:c>
      <x:c r="N57" s="115" t="n">
        <x:v>2</x:v>
      </x:c>
      <x:c r="O57" s="115" t="n">
        <x:v>2</x:v>
      </x:c>
      <x:c r="P57" s="115" t="n">
        <x:v>2</x:v>
      </x:c>
      <x:c r="Q57" s="115" t="n">
        <x:v>2</x:v>
      </x:c>
      <x:c r="R57" s="115" t="n">
        <x:v>1</x:v>
      </x:c>
      <x:c r="S57" s="120" t="n">
        <x:v>0</x:v>
      </x:c>
    </x:row>
    <x:row r="58" ht="16.799999237060547">
      <x:c r="A58" s="55" t="str">
        <x:v>PB14</x:v>
      </x:c>
      <x:c r="B58" s="75" t="str">
        <x:v>Implement document list and search</x:v>
      </x:c>
      <x:c r="C58" s="76"/>
      <x:c r="D58" s="55" t="str">
        <x:v>Nguyen</x:v>
      </x:c>
      <x:c r="E58" s="58" t="n">
        <x:v>3</x:v>
      </x:c>
      <x:c r="F58" s="115" t="n">
        <x:v>3</x:v>
      </x:c>
      <x:c r="G58" s="115" t="n">
        <x:v>3</x:v>
      </x:c>
      <x:c r="H58" s="115" t="n">
        <x:v>3</x:v>
      </x:c>
      <x:c r="I58" s="115" t="n">
        <x:v>3</x:v>
      </x:c>
      <x:c r="J58" s="115" t="n">
        <x:v>3</x:v>
      </x:c>
      <x:c r="K58" s="115" t="n">
        <x:v>3</x:v>
      </x:c>
      <x:c r="L58" s="115" t="n">
        <x:v>3</x:v>
      </x:c>
      <x:c r="M58" s="115" t="n">
        <x:v>3</x:v>
      </x:c>
      <x:c r="N58" s="115" t="n">
        <x:v>3</x:v>
      </x:c>
      <x:c r="O58" s="115" t="n">
        <x:v>3</x:v>
      </x:c>
      <x:c r="P58" s="115" t="n">
        <x:v>3</x:v>
      </x:c>
      <x:c r="Q58" s="115" t="n">
        <x:v>3</x:v>
      </x:c>
      <x:c r="R58" s="115" t="n">
        <x:v>2</x:v>
      </x:c>
      <x:c r="S58" s="120" t="n">
        <x:v>0</x:v>
      </x:c>
    </x:row>
    <x:row r="59" ht="16.799999237060547">
      <x:c r="A59" s="55" t="str">
        <x:v>PB14</x:v>
      </x:c>
      <x:c r="B59" s="75" t="str">
        <x:v>Implement download and delete actions</x:v>
      </x:c>
      <x:c r="C59" s="76"/>
      <x:c r="D59" s="55" t="str">
        <x:v>Nguyen</x:v>
      </x:c>
      <x:c r="E59" s="58" t="n">
        <x:v>3</x:v>
      </x:c>
      <x:c r="F59" s="115" t="n">
        <x:v>3</x:v>
      </x:c>
      <x:c r="G59" s="115" t="n">
        <x:v>3</x:v>
      </x:c>
      <x:c r="H59" s="115" t="n">
        <x:v>3</x:v>
      </x:c>
      <x:c r="I59" s="115" t="n">
        <x:v>3</x:v>
      </x:c>
      <x:c r="J59" s="115" t="n">
        <x:v>3</x:v>
      </x:c>
      <x:c r="K59" s="115" t="n">
        <x:v>3</x:v>
      </x:c>
      <x:c r="L59" s="115" t="n">
        <x:v>3</x:v>
      </x:c>
      <x:c r="M59" s="115" t="n">
        <x:v>3</x:v>
      </x:c>
      <x:c r="N59" s="115" t="n">
        <x:v>3</x:v>
      </x:c>
      <x:c r="O59" s="115" t="n">
        <x:v>3</x:v>
      </x:c>
      <x:c r="P59" s="115" t="n">
        <x:v>3</x:v>
      </x:c>
      <x:c r="Q59" s="115" t="n">
        <x:v>3</x:v>
      </x:c>
      <x:c r="R59" s="115" t="n">
        <x:v>2</x:v>
      </x:c>
      <x:c r="S59" s="120" t="n">
        <x:v>0</x:v>
      </x:c>
    </x:row>
    <x:row r="60" ht="16.799999237060547">
      <x:c r="A60" s="55" t="str">
        <x:v>PB14</x:v>
      </x:c>
      <x:c r="B60" s="75" t="str">
        <x:v>Test document management integration</x:v>
      </x:c>
      <x:c r="C60" s="76"/>
      <x:c r="D60" s="55" t="str">
        <x:v>Nguyen</x:v>
      </x:c>
      <x:c r="E60" s="58" t="n">
        <x:v>2</x:v>
      </x:c>
      <x:c r="F60" s="115" t="n">
        <x:v>2</x:v>
      </x:c>
      <x:c r="G60" s="115" t="n">
        <x:v>2</x:v>
      </x:c>
      <x:c r="H60" s="115" t="n">
        <x:v>2</x:v>
      </x:c>
      <x:c r="I60" s="115" t="n">
        <x:v>2</x:v>
      </x:c>
      <x:c r="J60" s="115" t="n">
        <x:v>2</x:v>
      </x:c>
      <x:c r="K60" s="115" t="n">
        <x:v>2</x:v>
      </x:c>
      <x:c r="L60" s="115" t="n">
        <x:v>2</x:v>
      </x:c>
      <x:c r="M60" s="115" t="n">
        <x:v>2</x:v>
      </x:c>
      <x:c r="N60" s="115" t="n">
        <x:v>2</x:v>
      </x:c>
      <x:c r="O60" s="115" t="n">
        <x:v>2</x:v>
      </x:c>
      <x:c r="P60" s="115" t="n">
        <x:v>2</x:v>
      </x:c>
      <x:c r="Q60" s="115" t="n">
        <x:v>2</x:v>
      </x:c>
      <x:c r="R60" s="115" t="n">
        <x:v>1</x:v>
      </x:c>
      <x:c r="S60" s="120" t="n">
        <x:v>0</x:v>
      </x:c>
    </x:row>
    <x:row r="61" ht="16.799999237060547">
      <x:c r="A61" s="55" t="str">
        <x:v>SPR1</x:v>
      </x:c>
      <x:c r="B61" s="75" t="str">
        <x:v>Integrate Sprint 1 modules and resolve conflicts</x:v>
      </x:c>
      <x:c r="C61" s="76"/>
      <x:c r="D61" s="55" t="str">
        <x:v>All Members</x:v>
      </x:c>
      <x:c r="E61" s="58" t="n">
        <x:v>4</x:v>
      </x:c>
      <x:c r="F61" s="115" t="n">
        <x:v>4</x:v>
      </x:c>
      <x:c r="G61" s="115" t="n">
        <x:v>4</x:v>
      </x:c>
      <x:c r="H61" s="115" t="n">
        <x:v>4</x:v>
      </x:c>
      <x:c r="I61" s="115" t="n">
        <x:v>4</x:v>
      </x:c>
      <x:c r="J61" s="115" t="n">
        <x:v>4</x:v>
      </x:c>
      <x:c r="K61" s="115" t="n">
        <x:v>4</x:v>
      </x:c>
      <x:c r="L61" s="115" t="n">
        <x:v>4</x:v>
      </x:c>
      <x:c r="M61" s="115" t="n">
        <x:v>4</x:v>
      </x:c>
      <x:c r="N61" s="115" t="n">
        <x:v>4</x:v>
      </x:c>
      <x:c r="O61" s="115" t="n">
        <x:v>4</x:v>
      </x:c>
      <x:c r="P61" s="115" t="n">
        <x:v>4</x:v>
      </x:c>
      <x:c r="Q61" s="115" t="n">
        <x:v>4</x:v>
      </x:c>
      <x:c r="R61" s="115" t="n">
        <x:v>2</x:v>
      </x:c>
      <x:c r="S61" s="120" t="n">
        <x:v>0</x:v>
      </x:c>
    </x:row>
    <x:row r="62" ht="16.799999237060547">
      <x:c r="A62" s="55" t="str">
        <x:v>SPR1</x:v>
      </x:c>
      <x:c r="B62" s="75" t="str">
        <x:v>Run regression tests and fix defects</x:v>
      </x:c>
      <x:c r="C62" s="76"/>
      <x:c r="D62" s="55" t="str">
        <x:v>All Members</x:v>
      </x:c>
      <x:c r="E62" s="58" t="n">
        <x:v>2</x:v>
      </x:c>
      <x:c r="F62" s="115" t="n">
        <x:v>2</x:v>
      </x:c>
      <x:c r="G62" s="115" t="n">
        <x:v>2</x:v>
      </x:c>
      <x:c r="H62" s="115" t="n">
        <x:v>2</x:v>
      </x:c>
      <x:c r="I62" s="115" t="n">
        <x:v>2</x:v>
      </x:c>
      <x:c r="J62" s="115" t="n">
        <x:v>2</x:v>
      </x:c>
      <x:c r="K62" s="115" t="n">
        <x:v>2</x:v>
      </x:c>
      <x:c r="L62" s="115" t="n">
        <x:v>2</x:v>
      </x:c>
      <x:c r="M62" s="115" t="n">
        <x:v>2</x:v>
      </x:c>
      <x:c r="N62" s="115" t="n">
        <x:v>2</x:v>
      </x:c>
      <x:c r="O62" s="115" t="n">
        <x:v>2</x:v>
      </x:c>
      <x:c r="P62" s="115" t="n">
        <x:v>2</x:v>
      </x:c>
      <x:c r="Q62" s="115" t="n">
        <x:v>2</x:v>
      </x:c>
      <x:c r="R62" s="115" t="n">
        <x:v>1</x:v>
      </x:c>
      <x:c r="S62" s="120" t="n">
        <x:v>0</x:v>
      </x:c>
    </x:row>
    <x:row r="63" ht="16.799999237060547">
      <x:c r="A63" s="55" t="str">
        <x:v>SPR1</x:v>
      </x:c>
      <x:c r="B63" s="75" t="str">
        <x:v>Conduct Sprint Review and Retrospective</x:v>
      </x:c>
      <x:c r="C63" s="76"/>
      <x:c r="D63" s="55" t="str">
        <x:v>All Members</x:v>
      </x:c>
      <x:c r="E63" s="58" t="n">
        <x:v>2</x:v>
      </x:c>
      <x:c r="F63" s="115" t="n">
        <x:v>2</x:v>
      </x:c>
      <x:c r="G63" s="115" t="n">
        <x:v>2</x:v>
      </x:c>
      <x:c r="H63" s="115" t="n">
        <x:v>2</x:v>
      </x:c>
      <x:c r="I63" s="115" t="n">
        <x:v>2</x:v>
      </x:c>
      <x:c r="J63" s="115" t="n">
        <x:v>2</x:v>
      </x:c>
      <x:c r="K63" s="115" t="n">
        <x:v>2</x:v>
      </x:c>
      <x:c r="L63" s="115" t="n">
        <x:v>2</x:v>
      </x:c>
      <x:c r="M63" s="115" t="n">
        <x:v>2</x:v>
      </x:c>
      <x:c r="N63" s="115" t="n">
        <x:v>2</x:v>
      </x:c>
      <x:c r="O63" s="115" t="n">
        <x:v>2</x:v>
      </x:c>
      <x:c r="P63" s="115" t="n">
        <x:v>2</x:v>
      </x:c>
      <x:c r="Q63" s="115" t="n">
        <x:v>2</x:v>
      </x:c>
      <x:c r="R63" s="115" t="n">
        <x:v>1</x:v>
      </x:c>
      <x:c r="S63" s="120" t="n">
        <x:v>0</x:v>
      </x:c>
    </x:row>
    <x:row r="64" ht="16.799999237060547">
      <x:c r="A64" s="60"/>
      <x:c r="B64" s="60"/>
      <x:c r="C64" s="60"/>
      <x:c r="D64" s="65" t="s">
        <x:v>15</x:v>
      </x:c>
      <x:c r="E64" s="60" t="n">
        <x:f t="shared" ref="E64:S64" si="0">SUM(E16:E63)</x:f>
        <x:v>128</x:v>
      </x:c>
      <x:c r="F64" s="60" t="n">
        <x:f t="shared" si="0">SUM(F16:F63)</x:f>
        <x:v>128</x:v>
      </x:c>
      <x:c r="G64" s="60" t="n">
        <x:f t="shared" si="0">SUM(G16:G63)</x:f>
        <x:v>116</x:v>
      </x:c>
      <x:c r="H64" s="60" t="n">
        <x:f t="shared" si="0">SUM(H16:H63)</x:f>
        <x:v>110</x:v>
      </x:c>
      <x:c r="I64" s="60" t="n">
        <x:f t="shared" si="0">SUM(I16:I63)</x:f>
        <x:v>101</x:v>
      </x:c>
      <x:c r="J64" s="60" t="n">
        <x:f t="shared" si="0">SUM(J16:J63)</x:f>
        <x:v>94</x:v>
      </x:c>
      <x:c r="K64" s="60" t="n">
        <x:f t="shared" si="0">SUM(K16:K63)</x:f>
        <x:v>90</x:v>
      </x:c>
      <x:c r="L64" s="60" t="n">
        <x:f t="shared" si="0">SUM(L16:L63)</x:f>
        <x:v>82</x:v>
      </x:c>
      <x:c r="M64" s="60" t="n">
        <x:f t="shared" si="0">SUM(M16:M63)</x:f>
        <x:v>73</x:v>
      </x:c>
      <x:c r="N64" s="60" t="n">
        <x:f t="shared" si="0">SUM(N16:N63)</x:f>
        <x:v>64</x:v>
      </x:c>
      <x:c r="O64" s="60" t="n">
        <x:f t="shared" si="0">SUM(O16:O63)</x:f>
        <x:v>57</x:v>
      </x:c>
      <x:c r="P64" s="60" t="n">
        <x:f t="shared" si="0">SUM(P16:P63)</x:f>
        <x:v>49</x:v>
      </x:c>
      <x:c r="Q64" s="60" t="n">
        <x:f t="shared" si="0">SUM(Q16:Q63)</x:f>
        <x:v>37</x:v>
      </x:c>
      <x:c r="R64" s="60" t="n">
        <x:f t="shared" si="0">SUM(R16:R63)</x:f>
        <x:v>16</x:v>
      </x:c>
      <x:c r="S64" s="60" t="n">
        <x:f t="shared" si="0">SUM(S16:S63)</x:f>
        <x:v>0</x:v>
      </x:c>
    </x:row>
    <x:row r="65" ht="7.349999904632568" customHeight="1">
      <x:c r="D65" s="10"/>
    </x:row>
    <x:row r="66" ht="7.349999904632568" customHeight="1">
      <x:c r="D66" s="10"/>
      <x:c r="E66" s="11"/>
    </x:row>
    <x:row r="67" ht="7.349999904632568" customHeight="1">
      <x:c r="D67" s="10"/>
      <x:c r="E67" s="11"/>
    </x:row>
    <x:row r="68" ht="7.349999904632568" customHeight="1">
      <x:c r="D68" s="10"/>
      <x:c r="E68" s="11"/>
    </x:row>
    <x:row r="69" ht="7.349999904632568" customHeight="1">
      <x:c r="D69" s="10"/>
      <x:c r="E69" s="11"/>
    </x:row>
    <x:row r="70" ht="7.349999904632568" customHeight="1">
      <x:c r="D70" s="10"/>
      <x:c r="E70" s="11"/>
    </x:row>
    <x:row r="71" ht="7.349999904632568" customHeight="1">
      <x:c r="D71" s="10"/>
      <x:c r="E71" s="11"/>
    </x:row>
    <x:row r="72" ht="7.349999904632568" customHeight="1">
      <x:c r="D72" s="10"/>
      <x:c r="E72" s="11"/>
    </x:row>
    <x:row r="73" ht="7.349999904632568" customHeight="1">
      <x:c r="D73" s="10"/>
      <x:c r="E73" s="11"/>
    </x:row>
    <x:row r="74" ht="7.349999904632568" customHeight="1">
      <x:c r="D74" s="10"/>
      <x:c r="E74" s="11"/>
    </x:row>
    <x:row r="75" ht="7.349999904632568" customHeight="1">
      <x:c r="D75" s="10"/>
      <x:c r="E75" s="11"/>
    </x:row>
    <x:row r="76" ht="7.349999904632568" customHeight="1">
      <x:c r="D76" s="10"/>
      <x:c r="E76" s="11"/>
    </x:row>
    <x:row r="77" ht="7.349999904632568" customHeight="1">
      <x:c r="D77" s="10"/>
      <x:c r="E77" s="11"/>
    </x:row>
    <x:row r="78" ht="7.349999904632568" customHeight="1">
      <x:c r="D78" s="10"/>
      <x:c r="E78" s="11"/>
    </x:row>
    <x:row r="79" ht="7.349999904632568" customHeight="1">
      <x:c r="D79" s="10"/>
      <x:c r="E79" s="11"/>
    </x:row>
    <x:row r="80" ht="7.349999904632568" customHeight="1">
      <x:c r="D80" s="10"/>
      <x:c r="E80" s="11"/>
    </x:row>
    <x:row r="81" ht="7.349999904632568" customHeight="1">
      <x:c r="D81" s="10"/>
      <x:c r="E81" s="11"/>
    </x:row>
    <x:row r="82" ht="7.349999904632568" customHeight="1">
      <x:c r="D82" s="10"/>
      <x:c r="E82" s="11"/>
    </x:row>
    <x:row r="83" ht="7.349999904632568" customHeight="1">
      <x:c r="D83" s="10"/>
      <x:c r="E83" s="11"/>
    </x:row>
    <x:row r="84" ht="7.349999904632568" customHeight="1">
      <x:c r="D84" s="10"/>
      <x:c r="E84" s="11"/>
    </x:row>
    <x:row r="85" ht="7.349999904632568" customHeight="1">
      <x:c r="D85" s="10"/>
      <x:c r="E85" s="11"/>
    </x:row>
    <x:row r="86" ht="7.349999904632568" customHeight="1">
      <x:c r="D86" s="10"/>
      <x:c r="E86" s="11"/>
    </x:row>
    <x:row r="87" ht="7.349999904632568" customHeight="1">
      <x:c r="D87" s="10"/>
      <x:c r="E87" s="11"/>
    </x:row>
    <x:row r="88" ht="7.349999904632568" customHeight="1">
      <x:c r="D88" s="10"/>
      <x:c r="E88" s="11"/>
    </x:row>
    <x:row r="89" ht="7.349999904632568" customHeight="1">
      <x:c r="D89" s="10"/>
      <x:c r="E89" s="11"/>
    </x:row>
    <x:row r="90" ht="7.349999904632568" customHeight="1">
      <x:c r="D90" s="10"/>
      <x:c r="E90" s="11"/>
    </x:row>
    <x:row r="91" ht="7.349999904632568" customHeight="1">
      <x:c r="D91" s="10"/>
      <x:c r="E91" s="11"/>
    </x:row>
    <x:row r="92" ht="7.349999904632568" customHeight="1">
      <x:c r="D92" s="10"/>
      <x:c r="E92" s="11"/>
    </x:row>
    <x:row r="93" ht="7.349999904632568" customHeight="1">
      <x:c r="D93" s="10"/>
      <x:c r="E93" s="11"/>
    </x:row>
    <x:row r="94" ht="7.349999904632568" customHeight="1">
      <x:c r="D94" s="10"/>
      <x:c r="E94" s="11"/>
    </x:row>
    <x:row r="95" ht="7.349999904632568" customHeight="1">
      <x:c r="D95" s="10"/>
      <x:c r="E95" s="11"/>
    </x:row>
    <x:row r="96" ht="7.349999904632568" customHeight="1">
      <x:c r="D96" s="10"/>
      <x:c r="E96" s="11"/>
    </x:row>
    <x:row r="97" ht="7.349999904632568" customHeight="1">
      <x:c r="D97" s="10"/>
      <x:c r="E97" s="11"/>
    </x:row>
    <x:row r="98" ht="7.349999904632568" customHeight="1">
      <x:c r="D98" s="10"/>
      <x:c r="E98" s="11"/>
    </x:row>
    <x:row r="99" ht="7.349999904632568" customHeight="1">
      <x:c r="D99" s="10"/>
      <x:c r="E99" s="11"/>
    </x:row>
    <x:row r="100" ht="7.349999904632568" customHeight="1">
      <x:c r="D100" s="10"/>
      <x:c r="E100" s="11"/>
    </x:row>
    <x:row r="101" ht="7.349999904632568" customHeight="1">
      <x:c r="D101" s="10"/>
      <x:c r="E101" s="11"/>
    </x:row>
    <x:row r="102" ht="7.349999904632568" customHeight="1">
      <x:c r="D102" s="10"/>
      <x:c r="E102" s="11"/>
    </x:row>
    <x:row r="103" ht="7.349999904632568" customHeight="1">
      <x:c r="D103" s="10"/>
      <x:c r="E103" s="11"/>
    </x:row>
    <x:row r="104" ht="7.349999904632568" customHeight="1">
      <x:c r="D104" s="10"/>
      <x:c r="E104" s="11"/>
    </x:row>
    <x:row r="105" ht="7.349999904632568" customHeight="1">
      <x:c r="D105" s="10"/>
      <x:c r="E105" s="11"/>
    </x:row>
    <x:row r="106" ht="7.349999904632568" customHeight="1">
      <x:c r="D106" s="10"/>
      <x:c r="E106" s="11"/>
    </x:row>
    <x:row r="107" ht="7.349999904632568" customHeight="1">
      <x:c r="D107" s="10"/>
      <x:c r="E107" s="11"/>
    </x:row>
    <x:row r="108" ht="7.349999904632568" customHeight="1">
      <x:c r="D108" s="10"/>
      <x:c r="E108" s="11"/>
    </x:row>
    <x:row r="109" ht="7.349999904632568" customHeight="1">
      <x:c r="D109" s="10"/>
      <x:c r="E109" s="11"/>
    </x:row>
    <x:row r="110" ht="7.349999904632568" customHeight="1">
      <x:c r="D110" s="10"/>
      <x:c r="E110" s="11"/>
    </x:row>
    <x:row r="111" ht="7.349999904632568" customHeight="1">
      <x:c r="D111" s="10"/>
      <x:c r="E111" s="11"/>
    </x:row>
    <x:row r="112" ht="7.349999904632568" customHeight="1">
      <x:c r="D112" s="10"/>
      <x:c r="E112" s="11"/>
    </x:row>
    <x:row r="113" ht="7.349999904632568" customHeight="1">
      <x:c r="D113" s="10"/>
      <x:c r="E113" s="11"/>
    </x:row>
    <x:row r="114" ht="7.349999904632568" customHeight="1">
      <x:c r="D114" s="10"/>
      <x:c r="E114" s="11"/>
    </x:row>
    <x:row r="115" ht="7.349999904632568" customHeight="1">
      <x:c r="D115" s="10"/>
      <x:c r="E115" s="11"/>
    </x:row>
    <x:row r="116" ht="7.349999904632568" customHeight="1">
      <x:c r="D116" s="10"/>
      <x:c r="E116" s="11"/>
    </x:row>
    <x:row r="117" ht="7.349999904632568" customHeight="1">
      <x:c r="D117" s="10"/>
      <x:c r="E117" s="11"/>
    </x:row>
    <x:row r="118" ht="7.349999904632568" customHeight="1">
      <x:c r="D118" s="10"/>
      <x:c r="E118" s="11"/>
    </x:row>
    <x:row r="119" ht="7.349999904632568" customHeight="1">
      <x:c r="D119" s="10"/>
      <x:c r="E119" s="11"/>
    </x:row>
    <x:row r="120" ht="7.349999904632568" customHeight="1">
      <x:c r="D120" s="10"/>
      <x:c r="E120" s="11"/>
    </x:row>
    <x:row r="121" ht="7.349999904632568" customHeight="1">
      <x:c r="D121" s="10"/>
      <x:c r="E121" s="11"/>
    </x:row>
    <x:row r="122" ht="7.349999904632568" customHeight="1">
      <x:c r="D122" s="10"/>
      <x:c r="E122" s="11"/>
    </x:row>
    <x:row r="123" ht="7.349999904632568" customHeight="1">
      <x:c r="D123" s="10"/>
      <x:c r="E123" s="11"/>
    </x:row>
    <x:row r="124" ht="7.349999904632568" customHeight="1">
      <x:c r="D124" s="10"/>
      <x:c r="E124" s="11"/>
    </x:row>
    <x:row r="125" ht="7.349999904632568" customHeight="1">
      <x:c r="D125" s="10"/>
      <x:c r="E125" s="11"/>
    </x:row>
    <x:row r="126" ht="7.349999904632568" customHeight="1">
      <x:c r="D126" s="10"/>
      <x:c r="E126" s="11"/>
    </x:row>
    <x:row r="127" ht="7.349999904632568" customHeight="1">
      <x:c r="D127" s="10"/>
      <x:c r="E127" s="11"/>
    </x:row>
    <x:row r="128" ht="7.349999904632568" customHeight="1">
      <x:c r="D128" s="10"/>
      <x:c r="E128" s="11"/>
    </x:row>
    <x:row r="129" ht="7.349999904632568" customHeight="1">
      <x:c r="D129" s="10"/>
      <x:c r="E129" s="11"/>
    </x:row>
    <x:row r="130" ht="7.349999904632568" customHeight="1">
      <x:c r="D130" s="10"/>
      <x:c r="E130" s="11"/>
    </x:row>
    <x:row r="131" ht="7.349999904632568" customHeight="1">
      <x:c r="D131" s="10"/>
      <x:c r="E131" s="11"/>
    </x:row>
    <x:row r="132" ht="7.349999904632568" customHeight="1">
      <x:c r="D132" s="10"/>
      <x:c r="E132" s="11"/>
    </x:row>
    <x:row r="133" ht="7.349999904632568" customHeight="1">
      <x:c r="D133" s="10"/>
      <x:c r="E133" s="11"/>
    </x:row>
    <x:row r="134" ht="7.349999904632568" customHeight="1">
      <x:c r="D134" s="10"/>
      <x:c r="E134" s="11"/>
    </x:row>
    <x:row r="135" ht="7.349999904632568" customHeight="1">
      <x:c r="D135" s="10"/>
      <x:c r="E135" s="11"/>
    </x:row>
    <x:row r="136" ht="7.349999904632568" customHeight="1">
      <x:c r="D136" s="10"/>
      <x:c r="E136" s="11"/>
    </x:row>
    <x:row r="137" ht="7.349999904632568" customHeight="1">
      <x:c r="D137" s="10"/>
      <x:c r="E137" s="11"/>
    </x:row>
    <x:row r="138" ht="7.349999904632568" customHeight="1">
      <x:c r="D138" s="10"/>
      <x:c r="E138" s="11"/>
    </x:row>
    <x:row r="139" ht="7.349999904632568" customHeight="1">
      <x:c r="D139" s="10"/>
      <x:c r="E139" s="11"/>
    </x:row>
    <x:row r="140" ht="7.349999904632568" customHeight="1">
      <x:c r="D140" s="10"/>
      <x:c r="E140" s="11"/>
    </x:row>
    <x:row r="141" ht="7.349999904632568" customHeight="1">
      <x:c r="D141" s="10"/>
      <x:c r="E141" s="11"/>
    </x:row>
    <x:row r="142" ht="7.349999904632568" customHeight="1">
      <x:c r="D142" s="10"/>
      <x:c r="E142" s="11"/>
    </x:row>
    <x:row r="143" ht="7.349999904632568" customHeight="1">
      <x:c r="D143" s="10"/>
      <x:c r="E143" s="11"/>
    </x:row>
    <x:row r="144" ht="7.349999904632568" customHeight="1">
      <x:c r="D144" s="10"/>
      <x:c r="E144" s="11"/>
    </x:row>
    <x:row r="145" ht="7.349999904632568" customHeight="1">
      <x:c r="D145" s="10"/>
      <x:c r="E145" s="11"/>
    </x:row>
    <x:row r="146" ht="7.349999904632568" customHeight="1">
      <x:c r="D146" s="10"/>
      <x:c r="E146" s="11"/>
    </x:row>
    <x:row r="147" ht="7.349999904632568" customHeight="1">
      <x:c r="D147" s="10"/>
      <x:c r="E147" s="11"/>
    </x:row>
    <x:row r="148" ht="7.349999904632568" customHeight="1">
      <x:c r="D148" s="10"/>
      <x:c r="E148" s="11"/>
    </x:row>
    <x:row r="149" ht="7.349999904632568" customHeight="1">
      <x:c r="D149" s="10"/>
      <x:c r="E149" s="11"/>
    </x:row>
    <x:row r="150" ht="7.349999904632568" customHeight="1">
      <x:c r="D150" s="10"/>
      <x:c r="E150" s="11"/>
    </x:row>
    <x:row r="151" ht="7.349999904632568" customHeight="1">
      <x:c r="D151" s="10"/>
      <x:c r="E151" s="11"/>
    </x:row>
    <x:row r="152" ht="7.349999904632568" customHeight="1">
      <x:c r="D152" s="10"/>
      <x:c r="E152" s="11"/>
    </x:row>
    <x:row r="153" ht="7.349999904632568" customHeight="1">
      <x:c r="D153" s="10"/>
      <x:c r="E153" s="11"/>
    </x:row>
    <x:row r="154" ht="7.349999904632568" customHeight="1">
      <x:c r="D154" s="10"/>
      <x:c r="E154" s="11"/>
    </x:row>
    <x:row r="155" ht="7.349999904632568" customHeight="1">
      <x:c r="D155" s="10"/>
      <x:c r="E155" s="11"/>
    </x:row>
    <x:row r="156" ht="7.349999904632568" customHeight="1">
      <x:c r="D156" s="10"/>
      <x:c r="E156" s="11"/>
    </x:row>
    <x:row r="157" ht="7.349999904632568" customHeight="1">
      <x:c r="D157" s="10"/>
      <x:c r="E157" s="11"/>
    </x:row>
    <x:row r="158" ht="7.349999904632568" customHeight="1">
      <x:c r="D158" s="10"/>
      <x:c r="E158" s="11"/>
    </x:row>
    <x:row r="159" ht="7.349999904632568" customHeight="1">
      <x:c r="D159" s="10"/>
      <x:c r="E159" s="11"/>
    </x:row>
    <x:row r="160" ht="7.349999904632568" customHeight="1">
      <x:c r="D160" s="10"/>
      <x:c r="E160" s="11"/>
    </x:row>
    <x:row r="161" ht="7.349999904632568" customHeight="1">
      <x:c r="D161" s="10"/>
      <x:c r="E161" s="11"/>
    </x:row>
    <x:row r="162" ht="7.349999904632568" customHeight="1">
      <x:c r="D162" s="10"/>
      <x:c r="E162" s="11"/>
    </x:row>
    <x:row r="163" ht="7.349999904632568" customHeight="1">
      <x:c r="D163" s="10"/>
      <x:c r="E163" s="11"/>
    </x:row>
    <x:row r="164" ht="7.349999904632568" customHeight="1">
      <x:c r="D164" s="10"/>
      <x:c r="E164" s="11"/>
    </x:row>
    <x:row r="165" ht="7.349999904632568" customHeight="1">
      <x:c r="D165" s="10"/>
      <x:c r="E165" s="11"/>
    </x:row>
    <x:row r="166" ht="7.349999904632568" customHeight="1">
      <x:c r="D166" s="10"/>
      <x:c r="E166" s="11"/>
    </x:row>
    <x:row r="167" ht="7.349999904632568" customHeight="1">
      <x:c r="D167" s="10"/>
      <x:c r="E167" s="11"/>
    </x:row>
    <x:row r="168" ht="7.349999904632568" customHeight="1">
      <x:c r="D168" s="10"/>
      <x:c r="E168" s="11"/>
    </x:row>
    <x:row r="169" ht="7.349999904632568" customHeight="1">
      <x:c r="D169" s="10"/>
      <x:c r="E169" s="11"/>
    </x:row>
    <x:row r="170" ht="7.349999904632568" customHeight="1">
      <x:c r="D170" s="10"/>
      <x:c r="E170" s="11"/>
    </x:row>
    <x:row r="171" ht="7.349999904632568" customHeight="1">
      <x:c r="D171" s="10"/>
      <x:c r="E171" s="11"/>
    </x:row>
    <x:row r="172" ht="7.349999904632568" customHeight="1">
      <x:c r="D172" s="10"/>
      <x:c r="E172" s="11"/>
    </x:row>
    <x:row r="173" ht="7.349999904632568" customHeight="1">
      <x:c r="D173" s="10"/>
      <x:c r="E173" s="11"/>
    </x:row>
    <x:row r="174" ht="7.349999904632568" customHeight="1">
      <x:c r="D174" s="10"/>
      <x:c r="E174" s="11"/>
    </x:row>
    <x:row r="175" ht="7.349999904632568" customHeight="1">
      <x:c r="D175" s="10"/>
      <x:c r="E175" s="11"/>
    </x:row>
    <x:row r="176" ht="7.349999904632568" customHeight="1">
      <x:c r="D176" s="10"/>
      <x:c r="E176" s="11"/>
    </x:row>
    <x:row r="177" ht="7.349999904632568" customHeight="1">
      <x:c r="D177" s="10"/>
      <x:c r="E177" s="11"/>
    </x:row>
    <x:row r="178" ht="7.349999904632568" customHeight="1">
      <x:c r="D178" s="10"/>
      <x:c r="E178" s="11"/>
    </x:row>
    <x:row r="179" ht="7.349999904632568" customHeight="1">
      <x:c r="D179" s="10"/>
      <x:c r="E179" s="11"/>
    </x:row>
    <x:row r="180" ht="7.349999904632568" customHeight="1">
      <x:c r="D180" s="10"/>
      <x:c r="E180" s="11"/>
    </x:row>
    <x:row r="181" ht="7.349999904632568" customHeight="1">
      <x:c r="D181" s="10"/>
      <x:c r="E181" s="11"/>
    </x:row>
    <x:row r="182" ht="7.349999904632568" customHeight="1">
      <x:c r="D182" s="10"/>
      <x:c r="E182" s="11"/>
    </x:row>
    <x:row r="183" ht="7.349999904632568" customHeight="1">
      <x:c r="D183" s="10"/>
      <x:c r="E183" s="11"/>
    </x:row>
    <x:row r="184" ht="7.349999904632568" customHeight="1">
      <x:c r="D184" s="10"/>
      <x:c r="E184" s="11"/>
    </x:row>
    <x:row r="185" ht="7.349999904632568" customHeight="1">
      <x:c r="D185" s="10"/>
      <x:c r="E185" s="11"/>
    </x:row>
    <x:row r="186" ht="7.349999904632568" customHeight="1">
      <x:c r="D186" s="10"/>
      <x:c r="E186" s="11"/>
    </x:row>
    <x:row r="187" ht="7.349999904632568" customHeight="1">
      <x:c r="D187" s="10"/>
      <x:c r="E187" s="11"/>
    </x:row>
    <x:row r="188" ht="7.349999904632568" customHeight="1">
      <x:c r="D188" s="10"/>
      <x:c r="E188" s="11"/>
    </x:row>
    <x:row r="189" ht="7.349999904632568" customHeight="1">
      <x:c r="D189" s="10"/>
      <x:c r="E189" s="11"/>
    </x:row>
    <x:row r="190" ht="7.349999904632568" customHeight="1">
      <x:c r="D190" s="10"/>
      <x:c r="E190" s="11"/>
    </x:row>
    <x:row r="191" ht="7.349999904632568" customHeight="1">
      <x:c r="D191" s="10"/>
      <x:c r="E191" s="11"/>
    </x:row>
    <x:row r="192" ht="7.349999904632568" customHeight="1">
      <x:c r="D192" s="10"/>
      <x:c r="E192" s="11"/>
    </x:row>
    <x:row r="193" ht="7.349999904632568" customHeight="1">
      <x:c r="D193" s="10"/>
      <x:c r="E193" s="11"/>
    </x:row>
    <x:row r="194" ht="7.349999904632568" customHeight="1">
      <x:c r="D194" s="10"/>
      <x:c r="E194" s="11"/>
    </x:row>
    <x:row r="195" ht="7.349999904632568" customHeight="1">
      <x:c r="D195" s="10"/>
      <x:c r="E195" s="11"/>
    </x:row>
    <x:row r="196" ht="7.349999904632568" customHeight="1">
      <x:c r="D196" s="10"/>
      <x:c r="E196" s="11"/>
    </x:row>
    <x:row r="197" ht="7.349999904632568" customHeight="1">
      <x:c r="D197" s="10"/>
      <x:c r="E197" s="11"/>
    </x:row>
    <x:row r="198" ht="7.349999904632568" customHeight="1">
      <x:c r="D198" s="10"/>
      <x:c r="E198" s="11"/>
    </x:row>
    <x:row r="199" ht="7.349999904632568" customHeight="1">
      <x:c r="D199" s="10"/>
      <x:c r="E199" s="11"/>
    </x:row>
    <x:row r="200" ht="7.349999904632568" customHeight="1">
      <x:c r="D200" s="10"/>
      <x:c r="E200" s="11"/>
    </x:row>
    <x:row r="201" ht="7.349999904632568" customHeight="1">
      <x:c r="D201" s="10"/>
      <x:c r="E201" s="11"/>
    </x:row>
    <x:row r="202" ht="7.349999904632568" customHeight="1">
      <x:c r="D202" s="10"/>
      <x:c r="E202" s="11"/>
    </x:row>
    <x:row r="203" ht="7.349999904632568" customHeight="1">
      <x:c r="D203" s="10"/>
      <x:c r="E203" s="11"/>
    </x:row>
    <x:row r="204" ht="7.349999904632568" customHeight="1">
      <x:c r="D204" s="10"/>
      <x:c r="E204" s="11"/>
    </x:row>
    <x:row r="205" ht="7.349999904632568" customHeight="1">
      <x:c r="D205" s="10"/>
      <x:c r="E205" s="11"/>
    </x:row>
    <x:row r="206" ht="7.349999904632568" customHeight="1">
      <x:c r="D206" s="10"/>
      <x:c r="E206" s="11"/>
    </x:row>
    <x:row r="207" ht="7.349999904632568" customHeight="1">
      <x:c r="D207" s="10"/>
      <x:c r="E207" s="11"/>
    </x:row>
    <x:row r="208" ht="7.349999904632568" customHeight="1">
      <x:c r="D208" s="10"/>
      <x:c r="E208" s="11"/>
    </x:row>
    <x:row r="209" ht="7.349999904632568" customHeight="1">
      <x:c r="D209" s="10"/>
      <x:c r="E209" s="11"/>
    </x:row>
    <x:row r="210" ht="7.349999904632568" customHeight="1">
      <x:c r="D210" s="10"/>
      <x:c r="E210" s="11"/>
    </x:row>
    <x:row r="211" ht="7.349999904632568" customHeight="1">
      <x:c r="D211" s="10"/>
      <x:c r="E211" s="11"/>
    </x:row>
    <x:row r="212" ht="7.349999904632568" customHeight="1">
      <x:c r="D212" s="10"/>
      <x:c r="E212" s="11"/>
    </x:row>
    <x:row r="213" ht="7.349999904632568" customHeight="1">
      <x:c r="D213" s="10"/>
      <x:c r="E213" s="11"/>
    </x:row>
    <x:row r="214" ht="7.349999904632568" customHeight="1">
      <x:c r="D214" s="10"/>
      <x:c r="E214" s="11"/>
    </x:row>
    <x:row r="215" ht="7.349999904632568" customHeight="1">
      <x:c r="D215" s="10"/>
      <x:c r="E215" s="11"/>
    </x:row>
    <x:row r="216" ht="7.349999904632568" customHeight="1">
      <x:c r="D216" s="10"/>
      <x:c r="E216" s="11"/>
    </x:row>
    <x:row r="217" ht="7.349999904632568" customHeight="1">
      <x:c r="D217" s="10"/>
      <x:c r="E217" s="11"/>
    </x:row>
    <x:row r="218" ht="7.349999904632568" customHeight="1">
      <x:c r="D218" s="10"/>
      <x:c r="E218" s="11"/>
    </x:row>
    <x:row r="219" ht="7.349999904632568" customHeight="1">
      <x:c r="D219" s="10"/>
      <x:c r="E219" s="11"/>
    </x:row>
    <x:row r="220" ht="7.349999904632568" customHeight="1">
      <x:c r="D220" s="10"/>
      <x:c r="E220" s="11"/>
    </x:row>
    <x:row r="221" ht="7.349999904632568" customHeight="1">
      <x:c r="D221" s="10"/>
      <x:c r="E221" s="11"/>
    </x:row>
    <x:row r="222" ht="7.349999904632568" customHeight="1">
      <x:c r="D222" s="10"/>
      <x:c r="E222" s="11"/>
    </x:row>
    <x:row r="223" ht="7.349999904632568" customHeight="1">
      <x:c r="D223" s="10"/>
      <x:c r="E223" s="11"/>
    </x:row>
    <x:row r="224" ht="7.349999904632568" customHeight="1">
      <x:c r="D224" s="10"/>
      <x:c r="E224" s="11"/>
    </x:row>
    <x:row r="225" ht="7.349999904632568" customHeight="1">
      <x:c r="D225" s="10"/>
      <x:c r="E225" s="11"/>
    </x:row>
    <x:row r="226" ht="7.349999904632568" customHeight="1">
      <x:c r="D226" s="10"/>
      <x:c r="E226" s="11"/>
    </x:row>
    <x:row r="227" ht="7.349999904632568" customHeight="1">
      <x:c r="D227" s="10"/>
      <x:c r="E227" s="11"/>
    </x:row>
    <x:row r="228" ht="7.349999904632568" customHeight="1">
      <x:c r="D228" s="10"/>
      <x:c r="E228" s="11"/>
    </x:row>
    <x:row r="229" ht="7.349999904632568" customHeight="1">
      <x:c r="D229" s="10"/>
      <x:c r="E229" s="11"/>
    </x:row>
    <x:row r="230" ht="7.349999904632568" customHeight="1">
      <x:c r="D230" s="10"/>
      <x:c r="E230" s="11"/>
    </x:row>
    <x:row r="231" ht="7.349999904632568" customHeight="1">
      <x:c r="D231" s="10"/>
      <x:c r="E231" s="11"/>
    </x:row>
    <x:row r="232" ht="7.349999904632568" customHeight="1">
      <x:c r="D232" s="10"/>
      <x:c r="E232" s="11"/>
    </x:row>
    <x:row r="233" ht="7.349999904632568" customHeight="1">
      <x:c r="D233" s="10"/>
      <x:c r="E233" s="11"/>
    </x:row>
    <x:row r="234" ht="7.349999904632568" customHeight="1">
      <x:c r="D234" s="10"/>
      <x:c r="E234" s="11"/>
    </x:row>
    <x:row r="235" ht="7.349999904632568" customHeight="1">
      <x:c r="D235" s="10"/>
      <x:c r="E235" s="11"/>
    </x:row>
    <x:row r="236" ht="7.349999904632568" customHeight="1">
      <x:c r="D236" s="10"/>
      <x:c r="E236" s="11"/>
    </x:row>
    <x:row r="237" ht="7.349999904632568" customHeight="1">
      <x:c r="D237" s="10"/>
      <x:c r="E237" s="11"/>
    </x:row>
    <x:row r="238" ht="7.349999904632568" customHeight="1">
      <x:c r="D238" s="10"/>
      <x:c r="E238" s="11"/>
    </x:row>
    <x:row r="239" ht="7.349999904632568" customHeight="1">
      <x:c r="D239" s="10"/>
      <x:c r="E239" s="11"/>
    </x:row>
    <x:row r="240" ht="7.349999904632568" customHeight="1">
      <x:c r="D240" s="10"/>
      <x:c r="E240" s="11"/>
    </x:row>
    <x:row r="241" ht="7.349999904632568" customHeight="1">
      <x:c r="D241" s="10"/>
      <x:c r="E241" s="11"/>
    </x:row>
    <x:row r="242" ht="7.349999904632568" customHeight="1">
      <x:c r="D242" s="10"/>
      <x:c r="E242" s="11"/>
    </x:row>
    <x:row r="243" ht="7.349999904632568" customHeight="1">
      <x:c r="D243" s="10"/>
      <x:c r="E243" s="11"/>
    </x:row>
    <x:row r="244" ht="7.349999904632568" customHeight="1">
      <x:c r="D244" s="10"/>
      <x:c r="E244" s="11"/>
    </x:row>
    <x:row r="245" ht="7.349999904632568" customHeight="1">
      <x:c r="D245" s="10"/>
      <x:c r="E245" s="11"/>
    </x:row>
    <x:row r="246" ht="7.349999904632568" customHeight="1">
      <x:c r="D246" s="10"/>
      <x:c r="E246" s="11"/>
    </x:row>
    <x:row r="247" ht="7.349999904632568" customHeight="1">
      <x:c r="D247" s="10"/>
      <x:c r="E247" s="11"/>
    </x:row>
    <x:row r="248" ht="7.349999904632568" customHeight="1">
      <x:c r="D248" s="10"/>
      <x:c r="E248" s="11"/>
    </x:row>
    <x:row r="249" ht="7.349999904632568" customHeight="1">
      <x:c r="D249" s="10"/>
      <x:c r="E249" s="11"/>
    </x:row>
    <x:row r="250" ht="7.349999904632568" customHeight="1">
      <x:c r="D250" s="10"/>
      <x:c r="E250" s="11"/>
    </x:row>
    <x:row r="251" ht="7.349999904632568" customHeight="1">
      <x:c r="D251" s="10"/>
      <x:c r="E251" s="11"/>
    </x:row>
    <x:row r="252" ht="7.349999904632568" customHeight="1">
      <x:c r="D252" s="10"/>
      <x:c r="E252" s="11"/>
    </x:row>
    <x:row r="253" ht="7.349999904632568" customHeight="1">
      <x:c r="D253" s="10"/>
      <x:c r="E253" s="11"/>
    </x:row>
    <x:row r="254" ht="7.349999904632568" customHeight="1">
      <x:c r="D254" s="10"/>
      <x:c r="E254" s="11"/>
    </x:row>
    <x:row r="255" ht="7.349999904632568" customHeight="1">
      <x:c r="D255" s="10"/>
      <x:c r="E255" s="11"/>
    </x:row>
    <x:row r="256" ht="7.349999904632568" customHeight="1">
      <x:c r="D256" s="10"/>
      <x:c r="E256" s="11"/>
    </x:row>
    <x:row r="257" ht="7.349999904632568" customHeight="1">
      <x:c r="D257" s="10"/>
      <x:c r="E257" s="11"/>
    </x:row>
    <x:row r="258" ht="7.349999904632568" customHeight="1">
      <x:c r="D258" s="10"/>
      <x:c r="E258" s="11"/>
    </x:row>
    <x:row r="259" ht="7.349999904632568" customHeight="1">
      <x:c r="D259" s="10"/>
      <x:c r="E259" s="11"/>
    </x:row>
    <x:row r="260" ht="7.349999904632568" customHeight="1">
      <x:c r="D260" s="10"/>
      <x:c r="E260" s="11"/>
    </x:row>
    <x:row r="261" ht="8.100000381469727" customHeight="1"/>
    <x:row r="262" ht="8.100000381469727" customHeight="1"/>
    <x:row r="263" ht="8.100000381469727" customHeight="1"/>
    <x:row r="264" ht="8.100000381469727" customHeight="1"/>
    <x:row r="265" ht="8.100000381469727" customHeight="1"/>
    <x:row r="266" ht="8.100000381469727" customHeight="1"/>
    <x:row r="267" ht="8.100000381469727" customHeight="1"/>
    <x:row r="268" ht="8.100000381469727" customHeight="1"/>
    <x:row r="269" ht="8.100000381469727" customHeight="1"/>
    <x:row r="270" ht="8.100000381469727" customHeight="1"/>
    <x:row r="271" ht="8.100000381469727" customHeight="1"/>
    <x:row r="272" ht="8.100000381469727" customHeight="1"/>
    <x:row r="273" ht="8.100000381469727" customHeight="1"/>
    <x:row r="274" ht="8.100000381469727" customHeight="1"/>
    <x:row r="275" ht="8.100000381469727" customHeight="1"/>
    <x:row r="276" ht="8.100000381469727" customHeight="1"/>
    <x:row r="277" ht="8.100000381469727" customHeight="1"/>
    <x:row r="278" ht="8.100000381469727" customHeight="1"/>
    <x:row r="279" ht="8.100000381469727" customHeight="1"/>
    <x:row r="280" ht="8.100000381469727" customHeight="1"/>
    <x:row r="281" ht="8.100000381469727" customHeight="1"/>
    <x:row r="282" ht="8.100000381469727" customHeight="1"/>
    <x:row r="283" ht="8.100000381469727" customHeight="1"/>
    <x:row r="284" ht="8.100000381469727" customHeight="1"/>
    <x:row r="285" ht="8.100000381469727" customHeight="1"/>
    <x:row r="286" ht="8.100000381469727" customHeight="1"/>
    <x:row r="287" ht="8.100000381469727" customHeight="1"/>
    <x:row r="288" ht="8.100000381469727" customHeight="1"/>
    <x:row r="289" ht="8.100000381469727" customHeight="1"/>
    <x:row r="290" ht="8.100000381469727" customHeight="1"/>
    <x:row r="291" ht="8.100000381469727" customHeight="1"/>
    <x:row r="292" ht="8.100000381469727" customHeight="1"/>
    <x:row r="293" ht="8.100000381469727" customHeight="1"/>
    <x:row r="294" ht="8.100000381469727" customHeight="1"/>
    <x:row r="295" ht="8.100000381469727" customHeight="1"/>
    <x:row r="296" ht="8.100000381469727" customHeight="1"/>
    <x:row r="297" ht="8.100000381469727" customHeight="1"/>
    <x:row r="298" ht="8.100000381469727" customHeight="1"/>
    <x:row r="299" ht="8.100000381469727" customHeight="1"/>
    <x:row r="300" ht="8.100000381469727" customHeight="1"/>
    <x:row r="301" ht="8.100000381469727" customHeight="1"/>
    <x:row r="302" ht="8.100000381469727" customHeight="1"/>
    <x:row r="303" ht="8.100000381469727" customHeight="1"/>
    <x:row r="304" ht="8.100000381469727" customHeight="1"/>
    <x:row r="305" ht="8.100000381469727" customHeight="1"/>
    <x:row r="306" ht="8.100000381469727" customHeight="1"/>
    <x:row r="307" ht="8.100000381469727" customHeight="1"/>
    <x:row r="308" ht="8.100000381469727" customHeight="1"/>
    <x:row r="309" ht="8.100000381469727" customHeight="1"/>
    <x:row r="310" ht="8.100000381469727" customHeight="1"/>
    <x:row r="311" ht="8.100000381469727" customHeight="1"/>
    <x:row r="312" ht="8.100000381469727" customHeight="1"/>
    <x:row r="313" ht="8.100000381469727" customHeight="1"/>
    <x:row r="314" ht="8.100000381469727" customHeight="1"/>
    <x:row r="315" ht="8.100000381469727" customHeight="1"/>
    <x:row r="316" ht="8.100000381469727" customHeight="1"/>
    <x:row r="317" ht="8.100000381469727" customHeight="1"/>
    <x:row r="318" ht="8.100000381469727" customHeight="1"/>
    <x:row r="319" ht="8.100000381469727" customHeight="1"/>
    <x:row r="320" ht="8.100000381469727" customHeight="1"/>
    <x:row r="321" ht="8.100000381469727" customHeight="1"/>
    <x:row r="322" ht="8.100000381469727" customHeight="1"/>
    <x:row r="323" ht="8.100000381469727" customHeight="1"/>
    <x:row r="324" ht="8.100000381469727" customHeight="1"/>
    <x:row r="325" ht="8.100000381469727" customHeight="1"/>
    <x:row r="326" ht="8.100000381469727" customHeight="1"/>
    <x:row r="327" ht="8.100000381469727" customHeight="1"/>
    <x:row r="328" ht="8.100000381469727" customHeight="1"/>
    <x:row r="329" ht="8.100000381469727" customHeight="1"/>
    <x:row r="330" ht="8.100000381469727" customHeight="1"/>
    <x:row r="331" ht="8.100000381469727" customHeight="1"/>
    <x:row r="332" ht="8.100000381469727" customHeight="1"/>
    <x:row r="333" ht="8.100000381469727" customHeight="1"/>
    <x:row r="334" ht="8.100000381469727" customHeight="1"/>
    <x:row r="335" ht="8.100000381469727" customHeight="1"/>
    <x:row r="336" ht="8.100000381469727" customHeight="1"/>
    <x:row r="337" ht="8.100000381469727" customHeight="1"/>
    <x:row r="338" ht="8.100000381469727" customHeight="1"/>
    <x:row r="339" ht="8.100000381469727" customHeight="1"/>
    <x:row r="340" ht="8.100000381469727" customHeight="1"/>
    <x:row r="341" ht="8.100000381469727" customHeight="1"/>
    <x:row r="342" ht="8.100000381469727" customHeight="1"/>
    <x:row r="343" ht="8.100000381469727" customHeight="1"/>
    <x:row r="344" ht="8.100000381469727" customHeight="1"/>
    <x:row r="345" ht="8.100000381469727" customHeight="1"/>
    <x:row r="346" ht="8.100000381469727" customHeight="1"/>
    <x:row r="347" ht="8.100000381469727" customHeight="1"/>
    <x:row r="348" ht="8.100000381469727" customHeight="1"/>
    <x:row r="349" ht="8.100000381469727" customHeight="1"/>
    <x:row r="350" ht="8.100000381469727" customHeight="1"/>
    <x:row r="351" ht="8.100000381469727" customHeight="1"/>
    <x:row r="352" ht="8.100000381469727" customHeight="1"/>
    <x:row r="353" ht="8.100000381469727" customHeight="1"/>
    <x:row r="354" ht="8.100000381469727" customHeight="1"/>
    <x:row r="355" ht="8.100000381469727" customHeight="1"/>
    <x:row r="356" ht="8.100000381469727" customHeight="1"/>
    <x:row r="357" ht="8.100000381469727" customHeight="1"/>
    <x:row r="358" ht="8.100000381469727" customHeight="1"/>
    <x:row r="359" ht="8.100000381469727" customHeight="1"/>
    <x:row r="360" ht="8.100000381469727" customHeight="1"/>
    <x:row r="361" ht="8.100000381469727" customHeight="1"/>
    <x:row r="362" ht="8.100000381469727" customHeight="1"/>
    <x:row r="363" ht="8.100000381469727" customHeight="1"/>
    <x:row r="364" ht="8.100000381469727" customHeight="1"/>
    <x:row r="365" ht="8.100000381469727" customHeight="1"/>
    <x:row r="366" ht="8.100000381469727" customHeight="1"/>
    <x:row r="367" ht="8.100000381469727" customHeight="1"/>
    <x:row r="368" ht="8.100000381469727" customHeight="1"/>
    <x:row r="369" ht="8.100000381469727" customHeight="1"/>
    <x:row r="370" ht="8.100000381469727" customHeight="1"/>
    <x:row r="371" ht="8.100000381469727" customHeight="1"/>
    <x:row r="372" ht="8.100000381469727" customHeight="1"/>
    <x:row r="373" ht="8.100000381469727" customHeight="1"/>
    <x:row r="374" ht="8.100000381469727" customHeight="1"/>
    <x:row r="375" ht="8.100000381469727" customHeight="1"/>
    <x:row r="376" ht="8.100000381469727" customHeight="1"/>
    <x:row r="377" ht="8.100000381469727" customHeight="1"/>
    <x:row r="378" ht="8.100000381469727" customHeight="1"/>
    <x:row r="379" ht="8.100000381469727" customHeight="1"/>
    <x:row r="380" ht="8.100000381469727" customHeight="1"/>
    <x:row r="381" ht="8.100000381469727" customHeight="1"/>
    <x:row r="382" ht="8.100000381469727" customHeight="1"/>
    <x:row r="383" ht="8.100000381469727" customHeight="1"/>
    <x:row r="384" ht="8.100000381469727" customHeight="1"/>
    <x:row r="385" ht="8.100000381469727" customHeight="1"/>
    <x:row r="386" ht="8.100000381469727" customHeight="1"/>
    <x:row r="387" ht="8.100000381469727" customHeight="1"/>
    <x:row r="388" ht="8.100000381469727" customHeight="1"/>
    <x:row r="389" ht="8.100000381469727" customHeight="1"/>
    <x:row r="390" ht="8.100000381469727" customHeight="1"/>
    <x:row r="391" ht="8.100000381469727" customHeight="1"/>
    <x:row r="392" ht="8.100000381469727" customHeight="1"/>
    <x:row r="393" ht="8.100000381469727" customHeight="1"/>
    <x:row r="394" ht="8.100000381469727" customHeight="1"/>
    <x:row r="395" ht="8.100000381469727" customHeight="1"/>
    <x:row r="396" ht="8.100000381469727" customHeight="1"/>
    <x:row r="397" ht="8.100000381469727" customHeight="1"/>
    <x:row r="398" ht="8.100000381469727" customHeight="1"/>
    <x:row r="399" ht="8.100000381469727" customHeight="1"/>
    <x:row r="400" ht="8.100000381469727" customHeight="1"/>
    <x:row r="401" ht="8.100000381469727" customHeight="1"/>
    <x:row r="402" ht="8.100000381469727" customHeight="1"/>
    <x:row r="403" ht="8.100000381469727" customHeight="1"/>
    <x:row r="404" ht="8.100000381469727" customHeight="1"/>
    <x:row r="405" ht="8.100000381469727" customHeight="1"/>
    <x:row r="406" ht="8.100000381469727" customHeight="1"/>
    <x:row r="407" ht="8.100000381469727" customHeight="1"/>
    <x:row r="408" ht="8.100000381469727" customHeight="1"/>
    <x:row r="409" ht="8.100000381469727" customHeight="1"/>
    <x:row r="410" ht="8.100000381469727" customHeight="1"/>
    <x:row r="411" ht="8.100000381469727" customHeight="1"/>
    <x:row r="412" ht="8.100000381469727" customHeight="1"/>
    <x:row r="413" ht="8.100000381469727" customHeight="1"/>
    <x:row r="414" ht="8.100000381469727" customHeight="1"/>
    <x:row r="415" ht="8.100000381469727" customHeight="1"/>
    <x:row r="416" ht="8.100000381469727" customHeight="1"/>
    <x:row r="417" ht="8.100000381469727" customHeight="1"/>
    <x:row r="418" ht="8.100000381469727" customHeight="1"/>
    <x:row r="419" ht="8.100000381469727" customHeight="1"/>
    <x:row r="420" ht="8.100000381469727" customHeight="1"/>
    <x:row r="421" ht="8.100000381469727" customHeight="1"/>
    <x:row r="422" ht="8.100000381469727" customHeight="1"/>
    <x:row r="423" ht="8.100000381469727" customHeight="1"/>
    <x:row r="424" ht="8.100000381469727" customHeight="1"/>
    <x:row r="425" ht="8.100000381469727" customHeight="1"/>
    <x:row r="426" ht="8.100000381469727" customHeight="1"/>
    <x:row r="427" ht="8.100000381469727" customHeight="1"/>
    <x:row r="428" ht="8.100000381469727" customHeight="1"/>
    <x:row r="429" ht="8.100000381469727" customHeight="1"/>
    <x:row r="430" ht="8.100000381469727" customHeight="1"/>
    <x:row r="431" ht="8.100000381469727" customHeight="1"/>
    <x:row r="432" ht="8.100000381469727" customHeight="1"/>
    <x:row r="433" ht="8.100000381469727" customHeight="1"/>
    <x:row r="434" ht="8.100000381469727" customHeight="1"/>
    <x:row r="435" ht="8.100000381469727" customHeight="1"/>
    <x:row r="436" ht="8.100000381469727" customHeight="1"/>
    <x:row r="437" ht="8.100000381469727" customHeight="1"/>
    <x:row r="438" ht="8.100000381469727" customHeight="1"/>
    <x:row r="439" ht="8.100000381469727" customHeight="1"/>
    <x:row r="440" ht="8.100000381469727" customHeight="1"/>
    <x:row r="441" ht="8.100000381469727" customHeight="1"/>
    <x:row r="442" ht="8.100000381469727" customHeight="1"/>
    <x:row r="443" ht="8.100000381469727" customHeight="1"/>
    <x:row r="444" ht="8.100000381469727" customHeight="1"/>
    <x:row r="445" ht="8.100000381469727" customHeight="1"/>
    <x:row r="446" ht="8.100000381469727" customHeight="1"/>
    <x:row r="447" ht="8.100000381469727" customHeight="1"/>
    <x:row r="448" ht="8.100000381469727" customHeight="1"/>
    <x:row r="449" ht="8.100000381469727" customHeight="1"/>
    <x:row r="450" ht="8.100000381469727" customHeight="1"/>
    <x:row r="451" ht="8.100000381469727" customHeight="1"/>
    <x:row r="452" ht="8.100000381469727" customHeight="1"/>
    <x:row r="453" ht="8.100000381469727" customHeight="1"/>
    <x:row r="454" ht="8.100000381469727" customHeight="1"/>
    <x:row r="455" ht="8.100000381469727" customHeight="1"/>
    <x:row r="456" ht="8.100000381469727" customHeight="1"/>
    <x:row r="457" ht="8.100000381469727" customHeight="1"/>
    <x:row r="458" ht="8.100000381469727" customHeight="1"/>
    <x:row r="459" ht="8.100000381469727" customHeight="1"/>
    <x:row r="460" ht="8.100000381469727" customHeight="1"/>
    <x:row r="461" ht="8.100000381469727" customHeight="1"/>
    <x:row r="462" ht="8.100000381469727" customHeight="1"/>
    <x:row r="463" ht="8.100000381469727" customHeight="1"/>
    <x:row r="464" ht="8.100000381469727" customHeight="1"/>
    <x:row r="465" ht="8.100000381469727" customHeight="1"/>
    <x:row r="466" ht="8.100000381469727" customHeight="1"/>
    <x:row r="467" ht="8.100000381469727" customHeight="1"/>
    <x:row r="468" ht="8.100000381469727" customHeight="1"/>
    <x:row r="469" ht="8.100000381469727" customHeight="1"/>
    <x:row r="470" ht="8.100000381469727" customHeight="1"/>
    <x:row r="471" ht="8.100000381469727" customHeight="1"/>
    <x:row r="472" ht="8.100000381469727" customHeight="1"/>
    <x:row r="473" ht="8.100000381469727" customHeight="1"/>
    <x:row r="474" ht="8.100000381469727" customHeight="1"/>
    <x:row r="475" ht="8.100000381469727" customHeight="1"/>
    <x:row r="476" ht="8.100000381469727" customHeight="1"/>
    <x:row r="477" ht="8.100000381469727" customHeight="1"/>
    <x:row r="478" ht="8.100000381469727" customHeight="1"/>
    <x:row r="479" ht="8.100000381469727" customHeight="1"/>
    <x:row r="480" ht="8.100000381469727" customHeight="1"/>
    <x:row r="481" ht="8.100000381469727" customHeight="1"/>
    <x:row r="482" ht="8.100000381469727" customHeight="1"/>
    <x:row r="483" ht="8.100000381469727" customHeight="1"/>
    <x:row r="484" ht="8.100000381469727" customHeight="1"/>
    <x:row r="485" ht="8.100000381469727" customHeight="1"/>
    <x:row r="486" ht="8.100000381469727" customHeight="1"/>
    <x:row r="487" ht="8.100000381469727" customHeight="1"/>
    <x:row r="488" ht="8.100000381469727" customHeight="1"/>
    <x:row r="489" ht="8.100000381469727" customHeight="1"/>
    <x:row r="490" ht="8.100000381469727" customHeight="1"/>
    <x:row r="491" ht="8.100000381469727" customHeight="1"/>
    <x:row r="492" ht="8.100000381469727" customHeight="1"/>
    <x:row r="493" ht="8.100000381469727" customHeight="1"/>
    <x:row r="494" ht="8.100000381469727" customHeight="1"/>
    <x:row r="495" ht="8.100000381469727" customHeight="1"/>
    <x:row r="496" ht="8.100000381469727" customHeight="1"/>
    <x:row r="497" ht="8.100000381469727" customHeight="1"/>
    <x:row r="498" ht="8.100000381469727" customHeight="1"/>
    <x:row r="499" ht="8.100000381469727" customHeight="1"/>
    <x:row r="500" ht="8.100000381469727" customHeight="1"/>
    <x:row r="501" ht="8.100000381469727" customHeight="1"/>
    <x:row r="502" ht="8.100000381469727" customHeight="1"/>
    <x:row r="503" ht="8.100000381469727" customHeight="1"/>
    <x:row r="504" ht="8.100000381469727" customHeight="1"/>
    <x:row r="505" ht="8.100000381469727" customHeight="1"/>
    <x:row r="506" ht="8.100000381469727" customHeight="1"/>
    <x:row r="507" ht="8.100000381469727" customHeight="1"/>
    <x:row r="508" ht="8.100000381469727" customHeight="1"/>
    <x:row r="509" ht="8.100000381469727" customHeight="1"/>
    <x:row r="510" ht="8.100000381469727" customHeight="1"/>
    <x:row r="511" ht="8.100000381469727" customHeight="1"/>
    <x:row r="512" ht="8.100000381469727" customHeight="1"/>
    <x:row r="513" ht="8.100000381469727" customHeight="1"/>
    <x:row r="514" ht="8.100000381469727" customHeight="1"/>
    <x:row r="515" ht="8.100000381469727" customHeight="1"/>
    <x:row r="516" ht="8.100000381469727" customHeight="1"/>
    <x:row r="517" ht="8.100000381469727" customHeight="1"/>
    <x:row r="518" ht="8.100000381469727" customHeight="1"/>
    <x:row r="519" ht="8.100000381469727" customHeight="1"/>
    <x:row r="520" ht="8.100000381469727" customHeight="1"/>
    <x:row r="521" ht="8.100000381469727" customHeight="1"/>
    <x:row r="522" ht="8.100000381469727" customHeight="1"/>
    <x:row r="523" ht="8.100000381469727" customHeight="1"/>
    <x:row r="524" ht="8.100000381469727" customHeight="1"/>
    <x:row r="525" ht="8.100000381469727" customHeight="1"/>
    <x:row r="526" ht="8.100000381469727" customHeight="1"/>
    <x:row r="527" ht="8.100000381469727" customHeight="1"/>
    <x:row r="528" ht="8.100000381469727" customHeight="1"/>
    <x:row r="529" ht="8.100000381469727" customHeight="1"/>
    <x:row r="530" ht="8.100000381469727" customHeight="1"/>
    <x:row r="531" ht="8.100000381469727" customHeight="1"/>
    <x:row r="532" ht="8.100000381469727" customHeight="1"/>
    <x:row r="533" ht="8.100000381469727" customHeight="1"/>
    <x:row r="534" ht="8.100000381469727" customHeight="1"/>
    <x:row r="535" ht="8.100000381469727" customHeight="1"/>
    <x:row r="536" ht="8.100000381469727" customHeight="1"/>
    <x:row r="537" ht="8.100000381469727" customHeight="1"/>
    <x:row r="538" ht="8.100000381469727" customHeight="1"/>
    <x:row r="539" ht="8.100000381469727" customHeight="1"/>
    <x:row r="540" ht="8.100000381469727" customHeight="1"/>
    <x:row r="541" ht="8.100000381469727" customHeight="1"/>
    <x:row r="542" ht="8.100000381469727" customHeight="1"/>
    <x:row r="543" ht="8.100000381469727" customHeight="1"/>
    <x:row r="544" ht="8.100000381469727" customHeight="1"/>
    <x:row r="545" ht="8.100000381469727" customHeight="1"/>
    <x:row r="546" ht="8.100000381469727" customHeight="1"/>
    <x:row r="547" ht="8.100000381469727" customHeight="1"/>
    <x:row r="548" ht="8.100000381469727" customHeight="1"/>
    <x:row r="549" ht="8.100000381469727" customHeight="1"/>
    <x:row r="550" ht="8.100000381469727" customHeight="1"/>
    <x:row r="551" ht="8.100000381469727" customHeight="1"/>
    <x:row r="552" ht="8.100000381469727" customHeight="1"/>
    <x:row r="553" ht="8.100000381469727" customHeight="1"/>
    <x:row r="554" ht="8.100000381469727" customHeight="1"/>
    <x:row r="555" ht="8.100000381469727" customHeight="1"/>
    <x:row r="556" ht="8.100000381469727" customHeight="1"/>
    <x:row r="557" ht="8.100000381469727" customHeight="1"/>
    <x:row r="558" ht="8.100000381469727" customHeight="1"/>
    <x:row r="559" ht="8.100000381469727" customHeight="1"/>
    <x:row r="560" ht="8.100000381469727" customHeight="1"/>
    <x:row r="561" ht="8.100000381469727" customHeight="1"/>
    <x:row r="562" ht="8.100000381469727" customHeight="1"/>
    <x:row r="563" ht="8.100000381469727" customHeight="1"/>
    <x:row r="564" ht="8.100000381469727" customHeight="1"/>
    <x:row r="565" ht="8.100000381469727" customHeight="1"/>
    <x:row r="566" ht="8.100000381469727" customHeight="1"/>
    <x:row r="567" ht="8.100000381469727" customHeight="1"/>
    <x:row r="568" ht="8.100000381469727" customHeight="1"/>
    <x:row r="569" ht="8.100000381469727" customHeight="1"/>
    <x:row r="570" ht="8.100000381469727" customHeight="1"/>
    <x:row r="571" ht="8.100000381469727" customHeight="1"/>
    <x:row r="572" ht="8.100000381469727" customHeight="1"/>
    <x:row r="573" ht="8.100000381469727" customHeight="1"/>
    <x:row r="574" ht="8.100000381469727" customHeight="1"/>
    <x:row r="575" ht="8.100000381469727" customHeight="1"/>
    <x:row r="576" ht="8.100000381469727" customHeight="1"/>
    <x:row r="577" ht="8.100000381469727" customHeight="1"/>
    <x:row r="578" ht="8.100000381469727" customHeight="1"/>
    <x:row r="579" ht="8.100000381469727" customHeight="1"/>
    <x:row r="580" ht="8.100000381469727" customHeight="1"/>
    <x:row r="581" ht="8.100000381469727" customHeight="1"/>
    <x:row r="582" ht="8.100000381469727" customHeight="1"/>
    <x:row r="583" ht="8.100000381469727" customHeight="1"/>
    <x:row r="584" ht="8.100000381469727" customHeight="1"/>
    <x:row r="585" ht="8.100000381469727" customHeight="1"/>
    <x:row r="586" ht="8.100000381469727" customHeight="1"/>
    <x:row r="587" ht="8.100000381469727" customHeight="1"/>
    <x:row r="588" ht="8.100000381469727" customHeight="1"/>
    <x:row r="589" ht="8.100000381469727" customHeight="1"/>
    <x:row r="590" ht="8.100000381469727" customHeight="1"/>
    <x:row r="591" ht="8.100000381469727" customHeight="1"/>
    <x:row r="592" ht="8.100000381469727" customHeight="1"/>
    <x:row r="593" ht="8.100000381469727" customHeight="1"/>
    <x:row r="594" ht="8.100000381469727" customHeight="1"/>
    <x:row r="595" ht="8.100000381469727" customHeight="1"/>
    <x:row r="596" ht="8.100000381469727" customHeight="1"/>
    <x:row r="597" ht="8.100000381469727" customHeight="1"/>
    <x:row r="598" ht="8.100000381469727" customHeight="1"/>
    <x:row r="599" ht="8.100000381469727" customHeight="1"/>
    <x:row r="600" ht="8.100000381469727" customHeight="1"/>
    <x:row r="601" ht="8.100000381469727" customHeight="1"/>
    <x:row r="602" ht="8.100000381469727" customHeight="1"/>
    <x:row r="603" ht="8.100000381469727" customHeight="1"/>
    <x:row r="604" ht="8.100000381469727" customHeight="1"/>
    <x:row r="605" ht="8.100000381469727" customHeight="1"/>
    <x:row r="606" ht="8.100000381469727" customHeight="1"/>
    <x:row r="607" ht="8.100000381469727" customHeight="1"/>
    <x:row r="608" ht="8.100000381469727" customHeight="1"/>
    <x:row r="609" ht="8.100000381469727" customHeight="1"/>
    <x:row r="610" ht="8.100000381469727" customHeight="1"/>
    <x:row r="611" ht="8.100000381469727" customHeight="1"/>
    <x:row r="612" ht="8.100000381469727" customHeight="1"/>
    <x:row r="613" ht="8.100000381469727" customHeight="1"/>
    <x:row r="614" ht="8.100000381469727" customHeight="1"/>
    <x:row r="615" ht="8.100000381469727" customHeight="1"/>
    <x:row r="616" ht="8.100000381469727" customHeight="1"/>
    <x:row r="617" ht="8.100000381469727" customHeight="1"/>
    <x:row r="618" ht="8.100000381469727" customHeight="1"/>
    <x:row r="619" ht="8.100000381469727" customHeight="1"/>
    <x:row r="620" ht="8.100000381469727" customHeight="1"/>
    <x:row r="621" ht="8.100000381469727" customHeight="1"/>
    <x:row r="622" ht="8.100000381469727" customHeight="1"/>
    <x:row r="623" ht="8.100000381469727" customHeight="1"/>
    <x:row r="624" ht="8.100000381469727" customHeight="1"/>
    <x:row r="625" ht="8.100000381469727" customHeight="1"/>
    <x:row r="626" ht="8.100000381469727" customHeight="1"/>
    <x:row r="627" ht="8.100000381469727" customHeight="1"/>
    <x:row r="628" ht="8.100000381469727" customHeight="1"/>
    <x:row r="629" ht="8.100000381469727" customHeight="1"/>
    <x:row r="630" ht="8.100000381469727" customHeight="1"/>
    <x:row r="631" ht="8.100000381469727" customHeight="1"/>
    <x:row r="632" ht="8.100000381469727" customHeight="1"/>
    <x:row r="633" ht="8.100000381469727" customHeight="1"/>
    <x:row r="634" ht="8.100000381469727" customHeight="1"/>
    <x:row r="635" ht="8.100000381469727" customHeight="1"/>
    <x:row r="636" ht="8.100000381469727" customHeight="1"/>
    <x:row r="637" ht="8.100000381469727" customHeight="1"/>
    <x:row r="638" ht="8.100000381469727" customHeight="1"/>
    <x:row r="639" ht="8.100000381469727" customHeight="1"/>
    <x:row r="640" ht="8.100000381469727" customHeight="1"/>
    <x:row r="641" ht="8.100000381469727" customHeight="1"/>
    <x:row r="642" ht="8.100000381469727" customHeight="1"/>
    <x:row r="643" ht="8.100000381469727" customHeight="1"/>
    <x:row r="644" ht="8.100000381469727" customHeight="1"/>
    <x:row r="645" ht="8.100000381469727" customHeight="1"/>
    <x:row r="646" ht="8.100000381469727" customHeight="1"/>
    <x:row r="647" ht="8.100000381469727" customHeight="1"/>
    <x:row r="648" ht="8.100000381469727" customHeight="1"/>
    <x:row r="649" ht="8.100000381469727" customHeight="1"/>
    <x:row r="650" ht="8.100000381469727" customHeight="1"/>
    <x:row r="651" ht="8.100000381469727" customHeight="1"/>
    <x:row r="652" ht="8.100000381469727" customHeight="1"/>
    <x:row r="653" ht="8.100000381469727" customHeight="1"/>
    <x:row r="654" ht="8.100000381469727" customHeight="1"/>
    <x:row r="655" ht="8.100000381469727" customHeight="1"/>
    <x:row r="656" ht="8.100000381469727" customHeight="1"/>
    <x:row r="657" ht="8.100000381469727" customHeight="1"/>
    <x:row r="658" ht="8.100000381469727" customHeight="1"/>
    <x:row r="659" ht="8.100000381469727" customHeight="1"/>
    <x:row r="660" ht="8.100000381469727" customHeight="1"/>
    <x:row r="661" ht="8.100000381469727" customHeight="1"/>
    <x:row r="662" ht="8.100000381469727" customHeight="1"/>
    <x:row r="663" ht="8.100000381469727" customHeight="1"/>
    <x:row r="664" ht="8.100000381469727" customHeight="1"/>
    <x:row r="665" ht="8.100000381469727" customHeight="1"/>
    <x:row r="666" ht="8.100000381469727" customHeight="1"/>
    <x:row r="667" ht="8.100000381469727" customHeight="1"/>
    <x:row r="668" ht="8.100000381469727" customHeight="1"/>
    <x:row r="669" ht="8.100000381469727" customHeight="1"/>
    <x:row r="670" ht="8.100000381469727" customHeight="1"/>
    <x:row r="671" ht="8.100000381469727" customHeight="1"/>
    <x:row r="672" ht="8.100000381469727" customHeight="1"/>
    <x:row r="673" ht="8.100000381469727" customHeight="1"/>
    <x:row r="674" ht="8.100000381469727" customHeight="1"/>
    <x:row r="675" ht="8.100000381469727" customHeight="1"/>
    <x:row r="676" ht="8.100000381469727" customHeight="1"/>
    <x:row r="677" ht="8.100000381469727" customHeight="1"/>
    <x:row r="678" ht="8.100000381469727" customHeight="1"/>
    <x:row r="679" ht="8.100000381469727" customHeight="1"/>
    <x:row r="680" ht="8.100000381469727" customHeight="1"/>
    <x:row r="681" ht="8.100000381469727" customHeight="1"/>
    <x:row r="682" ht="8.100000381469727" customHeight="1"/>
    <x:row r="683" ht="8.100000381469727" customHeight="1"/>
    <x:row r="684" ht="8.100000381469727" customHeight="1"/>
    <x:row r="685" ht="8.100000381469727" customHeight="1"/>
    <x:row r="686" ht="8.100000381469727" customHeight="1"/>
    <x:row r="687" ht="8.100000381469727" customHeight="1"/>
    <x:row r="688" ht="8.100000381469727" customHeight="1"/>
    <x:row r="689" ht="8.100000381469727" customHeight="1"/>
    <x:row r="690" ht="8.100000381469727" customHeight="1"/>
    <x:row r="691" ht="8.100000381469727" customHeight="1"/>
    <x:row r="692" ht="8.100000381469727" customHeight="1"/>
    <x:row r="693" ht="8.100000381469727" customHeight="1"/>
    <x:row r="694" ht="8.100000381469727" customHeight="1"/>
    <x:row r="695" ht="8.100000381469727" customHeight="1"/>
    <x:row r="696" ht="8.100000381469727" customHeight="1"/>
    <x:row r="697" ht="8.100000381469727" customHeight="1"/>
    <x:row r="698" ht="8.100000381469727" customHeight="1"/>
    <x:row r="699" ht="8.100000381469727" customHeight="1"/>
    <x:row r="700" ht="8.100000381469727" customHeight="1"/>
    <x:row r="701" ht="8.100000381469727" customHeight="1"/>
    <x:row r="702" ht="8.100000381469727" customHeight="1"/>
    <x:row r="703" ht="8.100000381469727" customHeight="1"/>
    <x:row r="704" ht="8.100000381469727" customHeight="1"/>
    <x:row r="705" ht="8.100000381469727" customHeight="1"/>
    <x:row r="706" ht="8.100000381469727" customHeight="1"/>
    <x:row r="707" ht="8.100000381469727" customHeight="1"/>
    <x:row r="708" ht="8.100000381469727" customHeight="1"/>
    <x:row r="709" ht="8.100000381469727" customHeight="1"/>
    <x:row r="710" ht="8.100000381469727" customHeight="1"/>
    <x:row r="711" ht="8.100000381469727" customHeight="1"/>
    <x:row r="712" ht="8.100000381469727" customHeight="1"/>
    <x:row r="713" ht="8.100000381469727" customHeight="1"/>
    <x:row r="714" ht="8.100000381469727" customHeight="1"/>
    <x:row r="715" ht="8.100000381469727" customHeight="1"/>
    <x:row r="716" ht="8.100000381469727" customHeight="1"/>
    <x:row r="717" ht="8.100000381469727" customHeight="1"/>
    <x:row r="718" ht="8.100000381469727" customHeight="1"/>
    <x:row r="719" ht="8.100000381469727" customHeight="1"/>
    <x:row r="720" ht="8.100000381469727" customHeight="1"/>
    <x:row r="721" ht="8.100000381469727" customHeight="1"/>
    <x:row r="722" ht="8.100000381469727" customHeight="1"/>
    <x:row r="723" ht="8.100000381469727" customHeight="1"/>
    <x:row r="724" ht="8.100000381469727" customHeight="1"/>
    <x:row r="725" ht="8.100000381469727" customHeight="1"/>
    <x:row r="726" ht="8.100000381469727" customHeight="1"/>
    <x:row r="727" ht="8.100000381469727" customHeight="1"/>
    <x:row r="728" ht="8.100000381469727" customHeight="1"/>
    <x:row r="729" ht="8.100000381469727" customHeight="1"/>
    <x:row r="730" ht="8.100000381469727" customHeight="1"/>
    <x:row r="731" ht="8.100000381469727" customHeight="1"/>
    <x:row r="732" ht="8.100000381469727" customHeight="1"/>
    <x:row r="733" ht="8.100000381469727" customHeight="1"/>
    <x:row r="734" ht="8.100000381469727" customHeight="1"/>
    <x:row r="735" ht="8.100000381469727" customHeight="1"/>
    <x:row r="736" ht="8.100000381469727" customHeight="1"/>
    <x:row r="737" ht="8.100000381469727" customHeight="1"/>
    <x:row r="738" ht="8.100000381469727" customHeight="1"/>
    <x:row r="739" ht="8.100000381469727" customHeight="1"/>
    <x:row r="740" ht="8.100000381469727" customHeight="1"/>
    <x:row r="741" ht="8.100000381469727" customHeight="1"/>
    <x:row r="742" ht="8.100000381469727" customHeight="1"/>
    <x:row r="743" ht="8.100000381469727" customHeight="1"/>
    <x:row r="744" ht="8.100000381469727" customHeight="1"/>
    <x:row r="745" ht="8.100000381469727" customHeight="1"/>
    <x:row r="746" ht="8.100000381469727" customHeight="1"/>
    <x:row r="747" ht="8.100000381469727" customHeight="1"/>
    <x:row r="748" ht="8.100000381469727" customHeight="1"/>
    <x:row r="749" ht="8.100000381469727" customHeight="1"/>
    <x:row r="750" ht="8.100000381469727" customHeight="1"/>
    <x:row r="751" ht="8.100000381469727" customHeight="1"/>
    <x:row r="752" ht="8.100000381469727" customHeight="1"/>
    <x:row r="753" ht="8.100000381469727" customHeight="1"/>
    <x:row r="754" ht="8.100000381469727" customHeight="1"/>
    <x:row r="755" ht="8.100000381469727" customHeight="1"/>
    <x:row r="756" ht="8.100000381469727" customHeight="1"/>
    <x:row r="757" ht="8.100000381469727" customHeight="1"/>
    <x:row r="758" ht="8.100000381469727" customHeight="1"/>
    <x:row r="759" ht="8.100000381469727" customHeight="1"/>
    <x:row r="760" ht="8.100000381469727" customHeight="1"/>
    <x:row r="761" ht="8.100000381469727" customHeight="1"/>
    <x:row r="762" ht="8.100000381469727" customHeight="1"/>
    <x:row r="763" ht="8.100000381469727" customHeight="1"/>
    <x:row r="764" ht="8.100000381469727" customHeight="1"/>
    <x:row r="765" ht="8.100000381469727" customHeight="1"/>
    <x:row r="766" ht="8.100000381469727" customHeight="1"/>
    <x:row r="767" ht="8.100000381469727" customHeight="1"/>
    <x:row r="768" ht="8.100000381469727" customHeight="1"/>
    <x:row r="769" ht="8.100000381469727" customHeight="1"/>
    <x:row r="770" ht="8.100000381469727" customHeight="1"/>
    <x:row r="771" ht="8.100000381469727" customHeight="1"/>
    <x:row r="772" ht="8.100000381469727" customHeight="1"/>
    <x:row r="773" ht="8.100000381469727" customHeight="1"/>
    <x:row r="774" ht="8.100000381469727" customHeight="1"/>
    <x:row r="775" ht="8.100000381469727" customHeight="1"/>
    <x:row r="776" ht="8.100000381469727" customHeight="1"/>
    <x:row r="777" ht="8.100000381469727" customHeight="1"/>
    <x:row r="778" ht="8.100000381469727" customHeight="1"/>
    <x:row r="779" ht="8.100000381469727" customHeight="1"/>
    <x:row r="780" ht="8.100000381469727" customHeight="1"/>
    <x:row r="781" ht="8.100000381469727" customHeight="1"/>
    <x:row r="782" ht="8.100000381469727" customHeight="1"/>
    <x:row r="783" ht="8.100000381469727" customHeight="1"/>
    <x:row r="784" ht="8.100000381469727" customHeight="1"/>
    <x:row r="785" ht="8.100000381469727" customHeight="1"/>
    <x:row r="786" ht="8.100000381469727" customHeight="1"/>
    <x:row r="787" ht="8.100000381469727" customHeight="1"/>
    <x:row r="788" ht="8.100000381469727" customHeight="1"/>
    <x:row r="789" ht="8.100000381469727" customHeight="1"/>
    <x:row r="790" ht="8.100000381469727" customHeight="1"/>
    <x:row r="791" ht="8.100000381469727" customHeight="1"/>
    <x:row r="792" ht="8.100000381469727" customHeight="1"/>
    <x:row r="793" ht="8.100000381469727" customHeight="1"/>
    <x:row r="794" ht="8.100000381469727" customHeight="1"/>
    <x:row r="795" ht="8.100000381469727" customHeight="1"/>
    <x:row r="796" ht="8.100000381469727" customHeight="1"/>
    <x:row r="797" ht="8.100000381469727" customHeight="1"/>
    <x:row r="798" ht="8.100000381469727" customHeight="1"/>
    <x:row r="799" ht="8.100000381469727" customHeight="1"/>
    <x:row r="800" ht="8.100000381469727" customHeight="1"/>
    <x:row r="801" ht="8.100000381469727" customHeight="1"/>
    <x:row r="802" ht="8.100000381469727" customHeight="1"/>
    <x:row r="803" ht="8.100000381469727" customHeight="1"/>
    <x:row r="804" ht="8.100000381469727" customHeight="1"/>
    <x:row r="805" ht="8.100000381469727" customHeight="1"/>
    <x:row r="806" ht="8.100000381469727" customHeight="1"/>
    <x:row r="807" ht="8.100000381469727" customHeight="1"/>
    <x:row r="808" ht="8.100000381469727" customHeight="1"/>
    <x:row r="809" ht="8.100000381469727" customHeight="1"/>
    <x:row r="810" ht="8.100000381469727" customHeight="1"/>
    <x:row r="811" ht="8.100000381469727" customHeight="1"/>
    <x:row r="812" ht="8.100000381469727" customHeight="1"/>
    <x:row r="813" ht="8.100000381469727" customHeight="1"/>
    <x:row r="814" ht="8.100000381469727" customHeight="1"/>
    <x:row r="815" ht="8.100000381469727" customHeight="1"/>
    <x:row r="816" ht="8.100000381469727" customHeight="1"/>
    <x:row r="817" ht="8.100000381469727" customHeight="1"/>
    <x:row r="818" ht="8.100000381469727" customHeight="1"/>
    <x:row r="819" ht="8.100000381469727" customHeight="1"/>
    <x:row r="820" ht="8.100000381469727" customHeight="1"/>
    <x:row r="821" ht="8.100000381469727" customHeight="1"/>
    <x:row r="822" ht="8.100000381469727" customHeight="1"/>
    <x:row r="823" ht="8.100000381469727" customHeight="1"/>
    <x:row r="824" ht="8.100000381469727" customHeight="1"/>
    <x:row r="825" ht="8.100000381469727" customHeight="1"/>
    <x:row r="826" ht="8.100000381469727" customHeight="1"/>
    <x:row r="827" ht="8.100000381469727" customHeight="1"/>
    <x:row r="828" ht="8.100000381469727" customHeight="1"/>
    <x:row r="829" ht="8.100000381469727" customHeight="1"/>
    <x:row r="830" ht="8.100000381469727" customHeight="1"/>
    <x:row r="831" ht="8.100000381469727" customHeight="1"/>
    <x:row r="832" ht="8.100000381469727" customHeight="1"/>
    <x:row r="833" ht="8.100000381469727" customHeight="1"/>
    <x:row r="834" ht="8.100000381469727" customHeight="1"/>
    <x:row r="835" ht="8.100000381469727" customHeight="1"/>
    <x:row r="836" ht="8.100000381469727" customHeight="1"/>
    <x:row r="837" ht="8.100000381469727" customHeight="1"/>
    <x:row r="838" ht="8.100000381469727" customHeight="1"/>
    <x:row r="839" ht="8.100000381469727" customHeight="1"/>
    <x:row r="840" ht="8.100000381469727" customHeight="1"/>
    <x:row r="841" ht="8.100000381469727" customHeight="1"/>
    <x:row r="842" ht="8.100000381469727" customHeight="1"/>
    <x:row r="843" ht="8.100000381469727" customHeight="1"/>
    <x:row r="844" ht="8.100000381469727" customHeight="1"/>
    <x:row r="845" ht="8.100000381469727" customHeight="1"/>
    <x:row r="846" ht="8.100000381469727" customHeight="1"/>
    <x:row r="847" ht="8.100000381469727" customHeight="1"/>
    <x:row r="848" ht="8.100000381469727" customHeight="1"/>
    <x:row r="849" ht="8.100000381469727" customHeight="1"/>
    <x:row r="850" ht="8.100000381469727" customHeight="1"/>
    <x:row r="851" ht="8.100000381469727" customHeight="1"/>
    <x:row r="852" ht="8.100000381469727" customHeight="1"/>
    <x:row r="853" ht="8.100000381469727" customHeight="1"/>
    <x:row r="854" ht="8.100000381469727" customHeight="1"/>
    <x:row r="855" ht="8.100000381469727" customHeight="1"/>
    <x:row r="856" ht="8.100000381469727" customHeight="1"/>
    <x:row r="857" ht="8.100000381469727" customHeight="1"/>
    <x:row r="858" ht="8.100000381469727" customHeight="1"/>
    <x:row r="859" ht="8.100000381469727" customHeight="1"/>
    <x:row r="860" ht="8.100000381469727" customHeight="1"/>
    <x:row r="861" ht="8.100000381469727" customHeight="1"/>
    <x:row r="862" ht="8.100000381469727" customHeight="1"/>
    <x:row r="863" ht="8.100000381469727" customHeight="1"/>
    <x:row r="864" ht="8.100000381469727" customHeight="1"/>
    <x:row r="865" ht="8.100000381469727" customHeight="1"/>
    <x:row r="866" ht="8.100000381469727" customHeight="1"/>
    <x:row r="867" ht="8.100000381469727" customHeight="1"/>
    <x:row r="868" ht="8.100000381469727" customHeight="1"/>
    <x:row r="869" ht="8.100000381469727" customHeight="1"/>
    <x:row r="870" ht="8.100000381469727" customHeight="1"/>
    <x:row r="871" ht="8.100000381469727" customHeight="1"/>
    <x:row r="872" ht="8.100000381469727" customHeight="1"/>
    <x:row r="873" ht="8.100000381469727" customHeight="1"/>
    <x:row r="874" ht="8.100000381469727" customHeight="1"/>
    <x:row r="875" ht="8.100000381469727" customHeight="1"/>
    <x:row r="876" ht="8.100000381469727" customHeight="1"/>
    <x:row r="877" ht="8.100000381469727" customHeight="1"/>
    <x:row r="878" ht="8.100000381469727" customHeight="1"/>
    <x:row r="879" ht="8.100000381469727" customHeight="1"/>
    <x:row r="880" ht="8.100000381469727" customHeight="1"/>
    <x:row r="881" ht="8.100000381469727" customHeight="1"/>
    <x:row r="882" ht="8.100000381469727" customHeight="1"/>
    <x:row r="883" ht="8.100000381469727" customHeight="1"/>
    <x:row r="884" ht="8.100000381469727" customHeight="1"/>
    <x:row r="885" ht="8.100000381469727" customHeight="1"/>
    <x:row r="886" ht="8.100000381469727" customHeight="1"/>
    <x:row r="887" ht="8.100000381469727" customHeight="1"/>
    <x:row r="888" ht="8.100000381469727" customHeight="1"/>
    <x:row r="889" ht="8.100000381469727" customHeight="1"/>
    <x:row r="890" ht="8.100000381469727" customHeight="1"/>
    <x:row r="891" ht="8.100000381469727" customHeight="1"/>
    <x:row r="892" ht="8.100000381469727" customHeight="1"/>
    <x:row r="893" ht="8.100000381469727" customHeight="1"/>
    <x:row r="894" ht="8.100000381469727" customHeight="1"/>
    <x:row r="895" ht="8.100000381469727" customHeight="1"/>
    <x:row r="896" ht="8.100000381469727" customHeight="1"/>
    <x:row r="897" ht="8.100000381469727" customHeight="1"/>
    <x:row r="898" ht="8.100000381469727" customHeight="1"/>
    <x:row r="899" ht="8.100000381469727" customHeight="1"/>
    <x:row r="900" ht="8.100000381469727" customHeight="1"/>
    <x:row r="901" ht="8.100000381469727" customHeight="1"/>
    <x:row r="902" ht="8.100000381469727" customHeight="1"/>
    <x:row r="903" ht="8.100000381469727" customHeight="1"/>
    <x:row r="904" ht="8.100000381469727" customHeight="1"/>
    <x:row r="905" ht="8.100000381469727" customHeight="1"/>
    <x:row r="906" ht="8.100000381469727" customHeight="1"/>
    <x:row r="907" ht="8.100000381469727" customHeight="1"/>
    <x:row r="908" ht="8.100000381469727" customHeight="1"/>
    <x:row r="909" ht="8.100000381469727" customHeight="1"/>
    <x:row r="910" ht="8.100000381469727" customHeight="1"/>
    <x:row r="911" ht="8.100000381469727" customHeight="1"/>
    <x:row r="912" ht="8.100000381469727" customHeight="1"/>
    <x:row r="913" ht="8.100000381469727" customHeight="1"/>
    <x:row r="914" ht="8.100000381469727" customHeight="1"/>
    <x:row r="915" ht="8.100000381469727" customHeight="1"/>
    <x:row r="916" ht="8.100000381469727" customHeight="1"/>
    <x:row r="917" ht="8.100000381469727" customHeight="1"/>
    <x:row r="918" ht="8.100000381469727" customHeight="1"/>
    <x:row r="919" ht="8.100000381469727" customHeight="1"/>
    <x:row r="920" ht="8.100000381469727" customHeight="1"/>
    <x:row r="921" ht="8.100000381469727" customHeight="1"/>
    <x:row r="922" ht="8.100000381469727" customHeight="1"/>
    <x:row r="923" ht="8.100000381469727" customHeight="1"/>
    <x:row r="924" ht="8.100000381469727" customHeight="1"/>
    <x:row r="925" ht="8.100000381469727" customHeight="1"/>
    <x:row r="926" ht="8.100000381469727" customHeight="1"/>
    <x:row r="927" ht="8.100000381469727" customHeight="1"/>
    <x:row r="928" ht="8.100000381469727" customHeight="1"/>
    <x:row r="929" ht="8.100000381469727" customHeight="1"/>
    <x:row r="930" ht="8.100000381469727" customHeight="1"/>
    <x:row r="931" ht="8.100000381469727" customHeight="1"/>
    <x:row r="932" ht="8.100000381469727" customHeight="1"/>
    <x:row r="933" ht="8.100000381469727" customHeight="1"/>
    <x:row r="934" ht="8.100000381469727" customHeight="1"/>
    <x:row r="935" ht="8.100000381469727" customHeight="1"/>
    <x:row r="936" ht="8.100000381469727" customHeight="1"/>
    <x:row r="937" ht="8.100000381469727" customHeight="1"/>
    <x:row r="938" ht="8.100000381469727" customHeight="1"/>
    <x:row r="939" ht="8.100000381469727" customHeight="1"/>
    <x:row r="940" ht="8.100000381469727" customHeight="1"/>
    <x:row r="941" ht="8.100000381469727" customHeight="1"/>
    <x:row r="942" ht="8.100000381469727" customHeight="1"/>
    <x:row r="943" ht="8.100000381469727" customHeight="1"/>
    <x:row r="944" ht="8.100000381469727" customHeight="1"/>
    <x:row r="945" ht="8.100000381469727" customHeight="1"/>
    <x:row r="946" ht="8.100000381469727" customHeight="1"/>
    <x:row r="947" ht="8.100000381469727" customHeight="1"/>
    <x:row r="948" ht="8.100000381469727" customHeight="1"/>
    <x:row r="949" ht="8.100000381469727" customHeight="1"/>
    <x:row r="950" ht="8.100000381469727" customHeight="1"/>
    <x:row r="951" ht="8.100000381469727" customHeight="1"/>
    <x:row r="952" ht="8.100000381469727" customHeight="1"/>
    <x:row r="953" ht="8.100000381469727" customHeight="1"/>
    <x:row r="954" ht="8.100000381469727" customHeight="1"/>
    <x:row r="955" ht="8.100000381469727" customHeight="1"/>
    <x:row r="956" ht="8.100000381469727" customHeight="1"/>
    <x:row r="957" ht="8.100000381469727" customHeight="1"/>
    <x:row r="958" ht="8.100000381469727" customHeight="1"/>
    <x:row r="959" ht="8.100000381469727" customHeight="1"/>
    <x:row r="960" ht="8.100000381469727" customHeight="1"/>
    <x:row r="961" ht="8.100000381469727" customHeight="1"/>
    <x:row r="962" ht="8.100000381469727" customHeight="1"/>
    <x:row r="963" ht="8.100000381469727" customHeight="1"/>
    <x:row r="964" ht="8.100000381469727" customHeight="1"/>
    <x:row r="965" ht="8.100000381469727" customHeight="1"/>
    <x:row r="966" ht="8.100000381469727" customHeight="1"/>
    <x:row r="967" ht="8.100000381469727" customHeight="1"/>
    <x:row r="968" ht="8.100000381469727" customHeight="1"/>
    <x:row r="969" ht="8.100000381469727" customHeight="1"/>
    <x:row r="970" ht="8.100000381469727" customHeight="1"/>
    <x:row r="971" ht="8.100000381469727" customHeight="1"/>
    <x:row r="972" ht="8.100000381469727" customHeight="1"/>
    <x:row r="973" ht="8.100000381469727" customHeight="1"/>
    <x:row r="974" ht="8.100000381469727" customHeight="1"/>
    <x:row r="975" ht="8.100000381469727" customHeight="1"/>
    <x:row r="976" ht="8.100000381469727" customHeight="1"/>
    <x:row r="977" ht="8.100000381469727" customHeight="1"/>
    <x:row r="978" ht="8.100000381469727" customHeight="1"/>
    <x:row r="979" ht="8.100000381469727" customHeight="1"/>
    <x:row r="980" ht="8.100000381469727" customHeight="1"/>
    <x:row r="981" ht="8.100000381469727" customHeight="1"/>
    <x:row r="982" ht="8.100000381469727" customHeight="1"/>
    <x:row r="983" ht="8.100000381469727" customHeight="1"/>
    <x:row r="984" ht="8.100000381469727" customHeight="1"/>
    <x:row r="985" ht="8.100000381469727" customHeight="1"/>
    <x:row r="986" ht="8.100000381469727" customHeight="1"/>
    <x:row r="987" ht="8.100000381469727" customHeight="1"/>
    <x:row r="988" ht="8.100000381469727" customHeight="1"/>
    <x:row r="989" ht="8.100000381469727" customHeight="1"/>
    <x:row r="990" ht="8.100000381469727" customHeight="1"/>
    <x:row r="991" ht="8.100000381469727" customHeight="1"/>
    <x:row r="992" ht="8.100000381469727" customHeight="1"/>
    <x:row r="993" ht="8.100000381469727" customHeight="1"/>
    <x:row r="994" ht="8.100000381469727" customHeight="1"/>
    <x:row r="995" ht="8.100000381469727" customHeight="1"/>
    <x:row r="996" ht="8.100000381469727" customHeight="1"/>
    <x:row r="997" ht="8.100000381469727" customHeight="1"/>
    <x:row r="998" ht="8.100000381469727" customHeight="1"/>
  </x:sheetData>
  <x:mergeCells>
    <x:mergeCell ref="J12:K12"/>
    <x:mergeCell ref="A1:B1"/>
    <x:mergeCell ref="A2:B2"/>
    <x:mergeCell ref="A3:B3"/>
    <x:mergeCell ref="A4:B4"/>
    <x:mergeCell ref="A5:B5"/>
    <x:mergeCell ref="A7:D7"/>
    <x:mergeCell ref="H7:K7"/>
    <x:mergeCell ref="B8:C8"/>
    <x:mergeCell ref="H8:K8"/>
    <x:mergeCell ref="H9:K9"/>
    <x:mergeCell ref="H10:K10"/>
    <x:mergeCell ref="B27:C27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41:C41"/>
    <x:mergeCell ref="B29:C29"/>
    <x:mergeCell ref="B30:C30"/>
    <x:mergeCell ref="B31:C31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28:C28"/>
    <x:mergeCell ref="B61:C61"/>
    <x:mergeCell ref="B62:C62"/>
    <x:mergeCell ref="B63:C63"/>
    <x:mergeCell ref="B55:C55"/>
    <x:mergeCell ref="B56:C56"/>
    <x:mergeCell ref="B57:C57"/>
    <x:mergeCell ref="B58:C58"/>
    <x:mergeCell ref="B59:C59"/>
    <x:mergeCell ref="B60:C60"/>
    <x:mergeCell ref="B53:C53"/>
    <x:mergeCell ref="B54:C54"/>
    <x:mergeCell ref="B32:C32"/>
    <x:mergeCell ref="B47:C47"/>
    <x:mergeCell ref="B48:C48"/>
    <x:mergeCell ref="B49:C49"/>
    <x:mergeCell ref="B50:C50"/>
    <x:mergeCell ref="B51:C51"/>
    <x:mergeCell ref="B52:C52"/>
    <x:mergeCell ref="B42:C42"/>
    <x:mergeCell ref="B43:C43"/>
    <x:mergeCell ref="B44:C44"/>
    <x:mergeCell ref="B45:C45"/>
    <x:mergeCell ref="B46:C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9765625" defaultRowHeight="13.800000190734863"/>
  <x:cols>
    <x:col min="1" max="1" width="6.8984375" customWidth="1"/>
    <x:col min="2" max="2" width="17.19921875" customWidth="1"/>
    <x:col min="3" max="3" width="20.09765625" customWidth="1"/>
    <x:col min="4" max="4" width="12.3984375" customWidth="1"/>
    <x:col min="5" max="5" width="7.09765625" customWidth="1"/>
    <x:col min="6" max="11" width="7.3984375" customWidth="1"/>
    <x:col min="12" max="19" width="7.5" customWidth="1"/>
  </x:cols>
  <x:sheetData>
    <x:row r="1" ht="50.400001525878906">
      <x:c r="A1" s="82" t="s">
        <x:v>0</x:v>
      </x:c>
      <x:c r="B1" s="83"/>
      <x:c r="C1" s="1" t="str">
        <x:v>FLTS - Teaching and Learning Support System</x:v>
      </x:c>
      <x:c r="D1" s="2"/>
    </x:row>
    <x:row r="2" ht="16.799999237060547">
      <x:c r="A2" s="82" t="s">
        <x:v>1</x:v>
      </x:c>
      <x:c r="B2" s="83"/>
      <x:c r="C2" s="4" t="str">
        <x:v>Sprint 1 - Foundation</x:v>
      </x:c>
      <x:c r="D2" s="2"/>
      <x:c r="E2" s="5"/>
      <x:c r="F2" s="5"/>
    </x:row>
    <x:row r="3" ht="16.799999237060547">
      <x:c r="A3" s="82" t="s">
        <x:v>2</x:v>
      </x:c>
      <x:c r="B3" s="83"/>
      <x:c r="C3" s="4" t="str">
        <x:v>FLTS Capstone Project Team</x:v>
      </x:c>
      <x:c r="D3" s="6"/>
      <x:c r="E3" s="5"/>
      <x:c r="F3" s="5"/>
    </x:row>
    <x:row r="4" ht="16.799999237060547">
      <x:c r="A4" s="105" t="s">
        <x:v>3</x:v>
      </x:c>
      <x:c r="B4" s="106"/>
      <x:c r="C4" s="40" t="n">
        <x:v>46290</x:v>
      </x:c>
      <x:c r="D4" s="6"/>
      <x:c r="E4" s="5"/>
      <x:c r="F4" s="5"/>
    </x:row>
    <x:row r="5" ht="16.799999237060547">
      <x:c r="A5" s="107" t="s">
        <x:v>4</x:v>
      </x:c>
      <x:c r="B5" s="108"/>
      <x:c r="C5" s="41" t="n">
        <x:v>46303</x:v>
      </x:c>
      <x:c r="D5" s="6"/>
      <x:c r="E5" s="5"/>
      <x:c r="F5" s="5"/>
    </x:row>
    <x:row r="6" ht="16.799999237060547">
      <x:c r="A6" s="27"/>
      <x:c r="B6" s="27"/>
      <x:c r="C6" s="27"/>
      <x:c r="D6" s="5"/>
      <x:c r="E6" s="5"/>
      <x:c r="F6" s="5"/>
    </x:row>
    <x:row r="7" ht="16.799999237060547">
      <x:c r="A7" s="110"/>
      <x:c r="B7" s="111"/>
      <x:c r="C7" s="111"/>
      <x:c r="D7" s="111"/>
      <x:c r="E7" s="111"/>
      <x:c r="F7" s="5"/>
      <x:c r="G7" s="18"/>
      <x:c r="H7" s="85" t="s">
        <x:v>5</x:v>
      </x:c>
      <x:c r="I7" s="86"/>
      <x:c r="J7" s="86"/>
      <x:c r="K7" s="87"/>
      <x:c r="L7" s="25"/>
      <x:c r="M7" s="25"/>
      <x:c r="N7" s="25"/>
      <x:c r="O7" s="25"/>
      <x:c r="P7" s="25"/>
      <x:c r="Q7" s="25"/>
      <x:c r="R7" s="25"/>
      <x:c r="S7" s="25"/>
    </x:row>
    <x:row r="8" ht="16.799999237060547">
      <x:c r="A8" s="31" t="s">
        <x:v>6</x:v>
      </x:c>
      <x:c r="B8" s="109" t="s">
        <x:v>7</x:v>
      </x:c>
      <x:c r="C8" s="109"/>
      <x:c r="D8" s="31" t="s">
        <x:v>8</x:v>
      </x:c>
      <x:c r="E8" s="31" t="s">
        <x:v>16</x:v>
      </x:c>
      <x:c r="F8" s="5"/>
      <x:c r="G8" s="19"/>
      <x:c r="H8" s="90" t="s">
        <x:v>9</x:v>
      </x:c>
      <x:c r="I8" s="91"/>
      <x:c r="J8" s="91"/>
      <x:c r="K8" s="92"/>
      <x:c r="L8" s="25"/>
      <x:c r="M8" s="25"/>
      <x:c r="N8" s="25"/>
      <x:c r="O8" s="25"/>
      <x:c r="P8" s="25"/>
      <x:c r="Q8" s="25"/>
      <x:c r="R8" s="25"/>
      <x:c r="S8" s="25"/>
    </x:row>
    <x:row r="9" ht="33.599998474121094">
      <x:c r="A9" s="28" t="n">
        <x:v>1</x:v>
      </x:c>
      <x:c r="B9" s="29" t="str">
        <x:v>Nguyen</x:v>
      </x:c>
      <x:c r="C9" s="30" t="str">
        <x:v>Truong Cong Trieu Nguyen</x:v>
      </x:c>
      <x:c r="D9" s="117" t="n">
        <x:f>Estimate!D9</x:f>
        <x:v>32</x:v>
      </x:c>
      <x:c r="E9" s="119" t="str">
        <x:f>IF(COUNTA($E$16:$E$63)=0,"",SUMIF($D$16:$D$63,B9,$E$16:$E$63)+INT(SUMIF($D$16:$D$63,"All Members",$E$16:$E$63)/4)+IF(ROW()-9&gt;=4-MOD(SUMIF($D$16:$D$63,"All Members",$E$16:$E$63),4),1,0))</x:f>
      </x:c>
      <x:c r="F9" s="5"/>
      <x:c r="G9" s="20"/>
      <x:c r="H9" s="93" t="s">
        <x:v>10</x:v>
      </x:c>
      <x:c r="I9" s="91"/>
      <x:c r="J9" s="91"/>
      <x:c r="K9" s="92"/>
      <x:c r="L9" s="25"/>
      <x:c r="M9" s="25"/>
      <x:c r="N9" s="25"/>
      <x:c r="O9" s="25"/>
      <x:c r="P9" s="25"/>
      <x:c r="Q9" s="25"/>
      <x:c r="R9" s="25"/>
      <x:c r="S9" s="25"/>
    </x:row>
    <x:row r="10" ht="16.799999237060547">
      <x:c r="A10" s="3" t="n">
        <x:v>2</x:v>
      </x:c>
      <x:c r="B10" s="3" t="str">
        <x:v>Khoa</x:v>
      </x:c>
      <x:c r="C10" s="13" t="str">
        <x:v>Tra Van Minh Khoa</x:v>
      </x:c>
      <x:c r="D10" s="117" t="n">
        <x:f>Estimate!D10</x:f>
        <x:v>32</x:v>
      </x:c>
      <x:c r="E10" s="117" t="str">
        <x:f>IF(COUNTA($E$16:$E$63)=0,"",SUMIF($D$16:$D$63,B10,$E$16:$E$63)+INT(SUMIF($D$16:$D$63,"All Members",$E$16:$E$63)/4)+IF(ROW()-9&gt;=4-MOD(SUMIF($D$16:$D$63,"All Members",$E$16:$E$63),4),1,0))</x:f>
      </x:c>
      <x:c r="F10" s="5"/>
      <x:c r="G10" s="21"/>
      <x:c r="H10" s="94" t="s">
        <x:v>11</x:v>
      </x:c>
      <x:c r="I10" s="95"/>
      <x:c r="J10" s="95"/>
      <x:c r="K10" s="96"/>
      <x:c r="L10" s="25"/>
      <x:c r="M10" s="25"/>
      <x:c r="N10" s="25"/>
      <x:c r="O10" s="25"/>
      <x:c r="P10" s="25"/>
      <x:c r="Q10" s="25"/>
      <x:c r="R10" s="25"/>
      <x:c r="S10" s="25"/>
    </x:row>
    <x:row r="11" ht="16.799999237060547">
      <x:c r="A11" s="3" t="n">
        <x:v>3</x:v>
      </x:c>
      <x:c r="B11" s="9" t="str">
        <x:v>Hung</x:v>
      </x:c>
      <x:c r="C11" s="12" t="str">
        <x:v>Le The Khanh Hung</x:v>
      </x:c>
      <x:c r="D11" s="117" t="n">
        <x:f>Estimate!D11</x:f>
        <x:v>32</x:v>
      </x:c>
      <x:c r="E11" s="117" t="str">
        <x:f>IF(COUNTA($E$16:$E$63)=0,"",SUMIF($D$16:$D$63,B11,$E$16:$E$63)+INT(SUMIF($D$16:$D$63,"All Members",$E$16:$E$63)/4)+IF(ROW()-9&gt;=4-MOD(SUMIF($D$16:$D$63,"All Members",$E$16:$E$63),4),1,0))</x:f>
      </x:c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</x:row>
    <x:row r="12" ht="16.799999237060547">
      <x:c r="A12" s="49" t="n">
        <x:v>4</x:v>
      </x:c>
      <x:c r="B12" s="49" t="str">
        <x:v>Vuong</x:v>
      </x:c>
      <x:c r="C12" s="8" t="str">
        <x:v>Dang Trung Vuong</x:v>
      </x:c>
      <x:c r="D12" s="118" t="n">
        <x:f>Estimate!D12</x:f>
        <x:v>32</x:v>
      </x:c>
      <x:c r="E12" s="118" t="str">
        <x:f>IF(COUNTA($E$16:$E$63)=0,"",SUMIF($D$16:$D$63,B12,$E$16:$E$63)+INT(SUMIF($D$16:$D$63,"All Members",$E$16:$E$63)/4)+IF(ROW()-9&gt;=4-MOD(SUMIF($D$16:$D$63,"All Members",$E$16:$E$63),4),1,0))</x:f>
      </x:c>
      <x:c r="F12" s="26"/>
      <x:c r="G12" s="25"/>
      <x:c r="H12" s="25"/>
      <x:c r="I12" s="25"/>
      <x:c r="J12" s="80"/>
      <x:c r="K12" s="81"/>
      <x:c r="L12" s="25"/>
      <x:c r="M12" s="25"/>
      <x:c r="N12" s="25"/>
      <x:c r="O12" s="25"/>
      <x:c r="P12" s="25"/>
      <x:c r="Q12" s="25"/>
      <x:c r="R12" s="25"/>
      <x:c r="S12" s="25"/>
    </x:row>
    <x:row r="13" ht="16.799999237060547">
      <x:c r="A13" s="52"/>
      <x:c r="B13" s="53"/>
      <x:c r="C13" s="53"/>
      <x:c r="D13" s="66"/>
      <x:c r="E13" s="66"/>
      <x:c r="F13" s="26"/>
      <x:c r="G13" s="25"/>
      <x:c r="H13" s="25"/>
      <x:c r="I13" s="25"/>
      <x:c r="J13" s="33"/>
      <x:c r="K13" s="26"/>
      <x:c r="L13" s="25"/>
      <x:c r="M13" s="25"/>
      <x:c r="N13" s="25"/>
      <x:c r="O13" s="25"/>
      <x:c r="P13" s="25"/>
      <x:c r="Q13" s="25"/>
      <x:c r="R13" s="25"/>
      <x:c r="S13" s="25"/>
    </x:row>
    <x:row r="14" ht="16.799999237060547">
      <x:c r="A14" s="52"/>
      <x:c r="B14" s="52"/>
      <x:c r="C14" s="52"/>
      <x:c r="D14" s="15"/>
      <x:c r="E14" s="15"/>
      <x:c r="F14" s="26"/>
      <x:c r="G14" s="25"/>
      <x:c r="H14" s="25"/>
      <x:c r="I14" s="25"/>
      <x:c r="J14" s="33"/>
      <x:c r="K14" s="26"/>
      <x:c r="L14" s="25"/>
      <x:c r="M14" s="25"/>
      <x:c r="N14" s="25"/>
      <x:c r="O14" s="25"/>
      <x:c r="P14" s="25"/>
      <x:c r="Q14" s="25"/>
      <x:c r="R14" s="25"/>
      <x:c r="S14" s="25"/>
    </x:row>
    <x:row r="15" ht="33.599998474121094">
      <x:c r="A15" s="50" t="s">
        <x:v>12</x:v>
      </x:c>
      <x:c r="B15" s="50" t="s">
        <x:v>13</x:v>
      </x:c>
      <x:c r="C15" s="50"/>
      <x:c r="D15" s="14" t="s">
        <x:v>14</x:v>
      </x:c>
      <x:c r="E15" s="51" t="s">
        <x:v>16</x:v>
      </x:c>
      <x:c r="F15" s="35" t="n">
        <x:v>46290</x:v>
      </x:c>
      <x:c r="G15" s="35" t="n">
        <x:v>46291</x:v>
      </x:c>
      <x:c r="H15" s="35" t="n">
        <x:v>46292</x:v>
      </x:c>
      <x:c r="I15" s="35" t="n">
        <x:v>46293</x:v>
      </x:c>
      <x:c r="J15" s="35" t="n">
        <x:v>46294</x:v>
      </x:c>
      <x:c r="K15" s="35" t="n">
        <x:v>46295</x:v>
      </x:c>
      <x:c r="L15" s="35" t="n">
        <x:v>46296</x:v>
      </x:c>
      <x:c r="M15" s="35" t="n">
        <x:v>46297</x:v>
      </x:c>
      <x:c r="N15" s="35" t="n">
        <x:v>46298</x:v>
      </x:c>
      <x:c r="O15" s="35" t="n">
        <x:v>46299</x:v>
      </x:c>
      <x:c r="P15" s="35" t="n">
        <x:v>46300</x:v>
      </x:c>
      <x:c r="Q15" s="35" t="n">
        <x:v>46301</x:v>
      </x:c>
      <x:c r="R15" s="35" t="n">
        <x:v>46302</x:v>
      </x:c>
      <x:c r="S15" s="35" t="n">
        <x:v>46303</x:v>
      </x:c>
    </x:row>
    <x:row r="16" ht="16.799999237060547">
      <x:c r="A16" s="38" t="str">
        <x:v>SPR1</x:v>
      </x:c>
      <x:c r="B16" s="102" t="str">
        <x:v>Sprint Planning Meeting</x:v>
      </x:c>
      <x:c r="C16" s="103"/>
      <x:c r="D16" s="36" t="str">
        <x:v>All Members</x:v>
      </x:c>
      <x:c r="E16" s="54"/>
      <x:c r="F16" s="116"/>
      <x:c r="G16" s="116"/>
      <x:c r="H16" s="116"/>
      <x:c r="I16" s="116"/>
      <x:c r="J16" s="116"/>
      <x:c r="K16" s="116"/>
      <x:c r="L16" s="116"/>
      <x:c r="M16" s="116"/>
      <x:c r="N16" s="116"/>
      <x:c r="O16" s="116"/>
      <x:c r="P16" s="116"/>
      <x:c r="Q16" s="116"/>
      <x:c r="R16" s="116"/>
      <x:c r="S16" s="116"/>
    </x:row>
    <x:row r="17" ht="16.799999237060547">
      <x:c r="A17" s="38" t="str">
        <x:v>SPR1</x:v>
      </x:c>
      <x:c r="B17" s="102" t="str">
        <x:v>Create Sprint 1 Backlog</x:v>
      </x:c>
      <x:c r="C17" s="104"/>
      <x:c r="D17" s="36" t="str">
        <x:v>All Members</x:v>
      </x:c>
      <x:c r="E17" s="37"/>
      <x:c r="F17" s="116"/>
      <x:c r="G17" s="116"/>
      <x:c r="H17" s="116"/>
      <x:c r="I17" s="116"/>
      <x:c r="J17" s="116"/>
      <x:c r="K17" s="116"/>
      <x:c r="L17" s="116"/>
      <x:c r="M17" s="116"/>
      <x:c r="N17" s="116"/>
      <x:c r="O17" s="116"/>
      <x:c r="P17" s="116"/>
      <x:c r="Q17" s="116"/>
      <x:c r="R17" s="116"/>
      <x:c r="S17" s="116"/>
    </x:row>
    <x:row r="18" ht="16.799999237060547">
      <x:c r="A18" s="38" t="str">
        <x:v>SPR1</x:v>
      </x:c>
      <x:c r="B18" s="102" t="str">
        <x:v>Create Sprint 1 Test Plan</x:v>
      </x:c>
      <x:c r="C18" s="104"/>
      <x:c r="D18" s="36" t="str">
        <x:v>Vuong</x:v>
      </x:c>
      <x:c r="E18" s="37"/>
      <x:c r="F18" s="116"/>
      <x:c r="G18" s="116"/>
      <x:c r="H18" s="116"/>
      <x:c r="I18" s="116"/>
      <x:c r="J18" s="116"/>
      <x:c r="K18" s="116"/>
      <x:c r="L18" s="116"/>
      <x:c r="M18" s="116"/>
      <x:c r="N18" s="116"/>
      <x:c r="O18" s="116"/>
      <x:c r="P18" s="116"/>
      <x:c r="Q18" s="116"/>
      <x:c r="R18" s="116"/>
      <x:c r="S18" s="116"/>
    </x:row>
    <x:row r="19" ht="16.799999237060547">
      <x:c r="A19" s="38" t="str">
        <x:v>PB01</x:v>
      </x:c>
      <x:c r="B19" s="101" t="str">
        <x:v>Initialize Git repository and project structure</x:v>
      </x:c>
      <x:c r="C19" s="100"/>
      <x:c r="D19" s="38" t="str">
        <x:v>Nguyen</x:v>
      </x:c>
      <x:c r="E19" s="37"/>
      <x:c r="F19" s="116"/>
      <x:c r="G19" s="116"/>
      <x:c r="H19" s="116"/>
      <x:c r="I19" s="116"/>
      <x:c r="J19" s="116"/>
      <x:c r="K19" s="116"/>
      <x:c r="L19" s="116"/>
      <x:c r="M19" s="116"/>
      <x:c r="N19" s="116"/>
      <x:c r="O19" s="116"/>
      <x:c r="P19" s="116"/>
      <x:c r="Q19" s="116"/>
      <x:c r="R19" s="116"/>
      <x:c r="S19" s="116"/>
    </x:row>
    <x:row r="20" ht="16.799999237060547">
      <x:c r="A20" s="38" t="str">
        <x:v>PB01</x:v>
      </x:c>
      <x:c r="B20" s="99" t="str">
        <x:v>Define Git branching strategy</x:v>
      </x:c>
      <x:c r="C20" s="100"/>
      <x:c r="D20" s="38" t="str">
        <x:v>Nguyen</x:v>
      </x:c>
      <x:c r="E20" s="37"/>
      <x:c r="F20" s="116"/>
      <x:c r="G20" s="116"/>
      <x:c r="H20" s="116"/>
      <x:c r="I20" s="116"/>
      <x:c r="J20" s="116"/>
      <x:c r="K20" s="116"/>
      <x:c r="L20" s="116"/>
      <x:c r="M20" s="116"/>
      <x:c r="N20" s="116"/>
      <x:c r="O20" s="116"/>
      <x:c r="P20" s="116"/>
      <x:c r="Q20" s="116"/>
      <x:c r="R20" s="116"/>
      <x:c r="S20" s="116"/>
    </x:row>
    <x:row r="21" ht="16.799999237060547">
      <x:c r="A21" s="38" t="str">
        <x:v>PB01</x:v>
      </x:c>
      <x:c r="B21" s="99" t="str">
        <x:v>Configure branch protection and pull request rules</x:v>
      </x:c>
      <x:c r="C21" s="100"/>
      <x:c r="D21" s="39" t="str">
        <x:v>Nguyen</x:v>
      </x:c>
      <x:c r="E21" s="37"/>
      <x:c r="F21" s="116"/>
      <x:c r="G21" s="116"/>
      <x:c r="H21" s="116"/>
      <x:c r="I21" s="116"/>
      <x:c r="J21" s="116"/>
      <x:c r="K21" s="116"/>
      <x:c r="L21" s="116"/>
      <x:c r="M21" s="116"/>
      <x:c r="N21" s="116"/>
      <x:c r="O21" s="116"/>
      <x:c r="P21" s="116"/>
      <x:c r="Q21" s="116"/>
      <x:c r="R21" s="116"/>
      <x:c r="S21" s="116"/>
    </x:row>
    <x:row r="22" ht="16.799999237060547">
      <x:c r="A22" s="38" t="str">
        <x:v>PB02</x:v>
      </x:c>
      <x:c r="B22" s="99" t="str">
        <x:v>Create Docker Compose services</x:v>
      </x:c>
      <x:c r="C22" s="100"/>
      <x:c r="D22" s="39" t="str">
        <x:v>Khoa</x:v>
      </x:c>
      <x:c r="E22" s="37"/>
      <x:c r="F22" s="116"/>
      <x:c r="G22" s="116"/>
      <x:c r="H22" s="116"/>
      <x:c r="I22" s="116"/>
      <x:c r="J22" s="116"/>
      <x:c r="K22" s="116"/>
      <x:c r="L22" s="116"/>
      <x:c r="M22" s="116"/>
      <x:c r="N22" s="116"/>
      <x:c r="O22" s="116"/>
      <x:c r="P22" s="116"/>
      <x:c r="Q22" s="116"/>
      <x:c r="R22" s="116"/>
      <x:c r="S22" s="116"/>
    </x:row>
    <x:row r="23" ht="16.799999237060547">
      <x:c r="A23" s="38" t="str">
        <x:v>PB02</x:v>
      </x:c>
      <x:c r="B23" s="99" t="str">
        <x:v>Configure Laravel backend environment</x:v>
      </x:c>
      <x:c r="C23" s="100"/>
      <x:c r="D23" s="39" t="str">
        <x:v>Khoa</x:v>
      </x:c>
      <x:c r="E23" s="37"/>
      <x:c r="F23" s="116"/>
      <x:c r="G23" s="116"/>
      <x:c r="H23" s="116"/>
      <x:c r="I23" s="116"/>
      <x:c r="J23" s="116"/>
      <x:c r="K23" s="116"/>
      <x:c r="L23" s="116"/>
      <x:c r="M23" s="116"/>
      <x:c r="N23" s="116"/>
      <x:c r="O23" s="116"/>
      <x:c r="P23" s="116"/>
      <x:c r="Q23" s="116"/>
      <x:c r="R23" s="116"/>
      <x:c r="S23" s="116"/>
    </x:row>
    <x:row r="24" ht="16.799999237060547">
      <x:c r="A24" s="38" t="str">
        <x:v>PB02</x:v>
      </x:c>
      <x:c r="B24" s="99" t="str">
        <x:v>Configure Vue frontend environment</x:v>
      </x:c>
      <x:c r="C24" s="100"/>
      <x:c r="D24" s="39" t="str">
        <x:v>Hung</x:v>
      </x:c>
      <x:c r="E24" s="37"/>
      <x:c r="F24" s="116"/>
      <x:c r="G24" s="116"/>
      <x:c r="H24" s="116"/>
      <x:c r="I24" s="116"/>
      <x:c r="J24" s="116"/>
      <x:c r="K24" s="116"/>
      <x:c r="L24" s="116"/>
      <x:c r="M24" s="116"/>
      <x:c r="N24" s="116"/>
      <x:c r="O24" s="116"/>
      <x:c r="P24" s="116"/>
      <x:c r="Q24" s="116"/>
      <x:c r="R24" s="116"/>
      <x:c r="S24" s="116"/>
    </x:row>
    <x:row r="25" ht="16.799999237060547">
      <x:c r="A25" s="38" t="str">
        <x:v>PB02</x:v>
      </x:c>
      <x:c r="B25" s="99" t="str">
        <x:v>Verify local development environments</x:v>
      </x:c>
      <x:c r="C25" s="100"/>
      <x:c r="D25" s="39" t="str">
        <x:v>Nguyen</x:v>
      </x:c>
      <x:c r="E25" s="37"/>
      <x:c r="F25" s="116"/>
      <x:c r="G25" s="116"/>
      <x:c r="H25" s="116"/>
      <x:c r="I25" s="116"/>
      <x:c r="J25" s="116"/>
      <x:c r="K25" s="116"/>
      <x:c r="L25" s="116"/>
      <x:c r="M25" s="116"/>
      <x:c r="N25" s="116"/>
      <x:c r="O25" s="116"/>
      <x:c r="P25" s="116"/>
      <x:c r="Q25" s="116"/>
      <x:c r="R25" s="116"/>
      <x:c r="S25" s="116"/>
    </x:row>
    <x:row r="26" ht="16.799999237060547">
      <x:c r="A26" s="38" t="str">
        <x:v>PB03</x:v>
      </x:c>
      <x:c r="B26" s="99" t="str">
        <x:v>Define coding conventions</x:v>
      </x:c>
      <x:c r="C26" s="100"/>
      <x:c r="D26" s="39" t="str">
        <x:v>Nguyen</x:v>
      </x:c>
      <x:c r="E26" s="37"/>
      <x:c r="F26" s="116"/>
      <x:c r="G26" s="116"/>
      <x:c r="H26" s="116"/>
      <x:c r="I26" s="116"/>
      <x:c r="J26" s="116"/>
      <x:c r="K26" s="116"/>
      <x:c r="L26" s="116"/>
      <x:c r="M26" s="116"/>
      <x:c r="N26" s="116"/>
      <x:c r="O26" s="116"/>
      <x:c r="P26" s="116"/>
      <x:c r="Q26" s="116"/>
      <x:c r="R26" s="116"/>
      <x:c r="S26" s="116"/>
    </x:row>
    <x:row r="27" ht="16.799999237060547">
      <x:c r="A27" s="38" t="str">
        <x:v>PB03</x:v>
      </x:c>
      <x:c r="B27" s="99" t="str">
        <x:v>Create code review checklist</x:v>
      </x:c>
      <x:c r="C27" s="100"/>
      <x:c r="D27" s="39" t="str">
        <x:v>Nguyen</x:v>
      </x:c>
      <x:c r="E27" s="37"/>
      <x:c r="F27" s="116"/>
      <x:c r="G27" s="116"/>
      <x:c r="H27" s="116"/>
      <x:c r="I27" s="116"/>
      <x:c r="J27" s="116"/>
      <x:c r="K27" s="116"/>
      <x:c r="L27" s="116"/>
      <x:c r="M27" s="116"/>
      <x:c r="N27" s="116"/>
      <x:c r="O27" s="116"/>
      <x:c r="P27" s="116"/>
      <x:c r="Q27" s="116"/>
      <x:c r="R27" s="116"/>
      <x:c r="S27" s="116"/>
    </x:row>
    <x:row r="28" ht="16.799999237060547">
      <x:c r="A28" s="38" t="str">
        <x:v>PB04</x:v>
      </x:c>
      <x:c r="B28" s="99" t="str">
        <x:v>Configure CI pipeline</x:v>
      </x:c>
      <x:c r="C28" s="100"/>
      <x:c r="D28" s="39" t="str">
        <x:v>Khoa</x:v>
      </x:c>
      <x:c r="E28" s="37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</x:row>
    <x:row r="29" ht="16.799999237060547">
      <x:c r="A29" s="38" t="str">
        <x:v>PB04</x:v>
      </x:c>
      <x:c r="B29" s="99" t="str">
        <x:v>Create unit-test foundation</x:v>
      </x:c>
      <x:c r="C29" s="100"/>
      <x:c r="D29" s="39" t="str">
        <x:v>Vuong</x:v>
      </x:c>
      <x:c r="E29" s="37"/>
      <x:c r="F29" s="116"/>
      <x:c r="G29" s="116"/>
      <x:c r="H29" s="116"/>
      <x:c r="I29" s="116"/>
      <x:c r="J29" s="116"/>
      <x:c r="K29" s="116"/>
      <x:c r="L29" s="116"/>
      <x:c r="M29" s="116"/>
      <x:c r="N29" s="116"/>
      <x:c r="O29" s="116"/>
      <x:c r="P29" s="116"/>
      <x:c r="Q29" s="116"/>
      <x:c r="R29" s="116"/>
      <x:c r="S29" s="116"/>
    </x:row>
    <x:row r="30" ht="16.799999237060547">
      <x:c r="A30" s="38" t="str">
        <x:v>PB04</x:v>
      </x:c>
      <x:c r="B30" s="99" t="str">
        <x:v>Configure linting and quality checks</x:v>
      </x:c>
      <x:c r="C30" s="100"/>
      <x:c r="D30" s="39" t="str">
        <x:v>Nguyen</x:v>
      </x:c>
      <x:c r="E30" s="37"/>
      <x:c r="F30" s="116"/>
      <x:c r="G30" s="116"/>
      <x:c r="H30" s="116"/>
      <x:c r="I30" s="116"/>
      <x:c r="J30" s="116"/>
      <x:c r="K30" s="116"/>
      <x:c r="L30" s="116"/>
      <x:c r="M30" s="116"/>
      <x:c r="N30" s="116"/>
      <x:c r="O30" s="116"/>
      <x:c r="P30" s="116"/>
      <x:c r="Q30" s="116"/>
      <x:c r="R30" s="116"/>
      <x:c r="S30" s="116"/>
    </x:row>
    <x:row r="31" ht="16.799999237060547">
      <x:c r="A31" s="38" t="str">
        <x:v>PB05</x:v>
      </x:c>
      <x:c r="B31" s="99" t="str">
        <x:v>Implement Registration API</x:v>
      </x:c>
      <x:c r="C31" s="100"/>
      <x:c r="D31" s="39" t="str">
        <x:v>Khoa</x:v>
      </x:c>
      <x:c r="E31" s="37"/>
      <x:c r="F31" s="116"/>
      <x:c r="G31" s="116"/>
      <x:c r="H31" s="116"/>
      <x:c r="I31" s="116"/>
      <x:c r="J31" s="116"/>
      <x:c r="K31" s="116"/>
      <x:c r="L31" s="116"/>
      <x:c r="M31" s="116"/>
      <x:c r="N31" s="116"/>
      <x:c r="O31" s="116"/>
      <x:c r="P31" s="116"/>
      <x:c r="Q31" s="116"/>
      <x:c r="R31" s="116"/>
      <x:c r="S31" s="116"/>
    </x:row>
    <x:row r="32" ht="16.799999237060547">
      <x:c r="A32" s="38" t="str">
        <x:v>PB05</x:v>
      </x:c>
      <x:c r="B32" s="97" t="str">
        <x:v>Build Registration UI</x:v>
      </x:c>
      <x:c r="C32" s="98"/>
      <x:c r="D32" s="39" t="str">
        <x:v>Hung</x:v>
      </x:c>
      <x:c r="E32" s="37"/>
      <x:c r="F32" s="116"/>
      <x:c r="G32" s="116"/>
      <x:c r="H32" s="116"/>
      <x:c r="I32" s="116"/>
      <x:c r="J32" s="116"/>
      <x:c r="K32" s="116"/>
      <x:c r="L32" s="116"/>
      <x:c r="M32" s="116"/>
      <x:c r="N32" s="116"/>
      <x:c r="O32" s="116"/>
      <x:c r="P32" s="116"/>
      <x:c r="Q32" s="116"/>
      <x:c r="R32" s="116"/>
      <x:c r="S32" s="116"/>
    </x:row>
    <x:row r="33" ht="16.799999237060547">
      <x:c r="A33" s="38" t="str">
        <x:v>PB05</x:v>
      </x:c>
      <x:c r="B33" s="101" t="str">
        <x:v>Validate registration inputs and errors</x:v>
      </x:c>
      <x:c r="C33" s="100"/>
      <x:c r="D33" s="38" t="str">
        <x:v>Vuong</x:v>
      </x:c>
      <x:c r="E33" s="37"/>
      <x:c r="F33" s="116"/>
      <x:c r="G33" s="116"/>
      <x:c r="H33" s="116"/>
      <x:c r="I33" s="116"/>
      <x:c r="J33" s="116"/>
      <x:c r="K33" s="116"/>
      <x:c r="L33" s="116"/>
      <x:c r="M33" s="116"/>
      <x:c r="N33" s="116"/>
      <x:c r="O33" s="116"/>
      <x:c r="P33" s="116"/>
      <x:c r="Q33" s="116"/>
      <x:c r="R33" s="116"/>
      <x:c r="S33" s="116"/>
    </x:row>
    <x:row r="34" ht="16.799999237060547">
      <x:c r="A34" s="38" t="str">
        <x:v>PB06</x:v>
      </x:c>
      <x:c r="B34" s="97" t="str">
        <x:v>Implement Login API</x:v>
      </x:c>
      <x:c r="C34" s="98"/>
      <x:c r="D34" s="39" t="str">
        <x:v>Khoa</x:v>
      </x:c>
      <x:c r="E34" s="37"/>
      <x:c r="F34" s="116"/>
      <x:c r="G34" s="116"/>
      <x:c r="H34" s="116"/>
      <x:c r="I34" s="116"/>
      <x:c r="J34" s="116"/>
      <x:c r="K34" s="116"/>
      <x:c r="L34" s="116"/>
      <x:c r="M34" s="116"/>
      <x:c r="N34" s="116"/>
      <x:c r="O34" s="116"/>
      <x:c r="P34" s="116"/>
      <x:c r="Q34" s="116"/>
      <x:c r="R34" s="116"/>
      <x:c r="S34" s="116"/>
    </x:row>
    <x:row r="35" ht="16.799999237060547">
      <x:c r="A35" s="38" t="str">
        <x:v>PB06</x:v>
      </x:c>
      <x:c r="B35" s="97" t="str">
        <x:v>Build Login UI</x:v>
      </x:c>
      <x:c r="C35" s="98"/>
      <x:c r="D35" s="39" t="str">
        <x:v>Hung</x:v>
      </x:c>
      <x:c r="E35" s="37"/>
      <x:c r="F35" s="116"/>
      <x:c r="G35" s="116"/>
      <x:c r="H35" s="116"/>
      <x:c r="I35" s="116"/>
      <x:c r="J35" s="116"/>
      <x:c r="K35" s="116"/>
      <x:c r="L35" s="116"/>
      <x:c r="M35" s="116"/>
      <x:c r="N35" s="116"/>
      <x:c r="O35" s="116"/>
      <x:c r="P35" s="116"/>
      <x:c r="Q35" s="116"/>
      <x:c r="R35" s="116"/>
      <x:c r="S35" s="116"/>
    </x:row>
    <x:row r="36" ht="16.799999237060547">
      <x:c r="A36" s="38" t="str">
        <x:v>PB06</x:v>
      </x:c>
      <x:c r="B36" s="97" t="str">
        <x:v>Implement logout and session handling</x:v>
      </x:c>
      <x:c r="C36" s="98"/>
      <x:c r="D36" s="38" t="str">
        <x:v>Hung</x:v>
      </x:c>
      <x:c r="E36" s="37"/>
      <x:c r="F36" s="116"/>
      <x:c r="G36" s="116"/>
      <x:c r="H36" s="116"/>
      <x:c r="I36" s="116"/>
      <x:c r="J36" s="116"/>
      <x:c r="K36" s="116"/>
      <x:c r="L36" s="116"/>
      <x:c r="M36" s="116"/>
      <x:c r="N36" s="116"/>
      <x:c r="O36" s="116"/>
      <x:c r="P36" s="116"/>
      <x:c r="Q36" s="116"/>
      <x:c r="R36" s="116"/>
      <x:c r="S36" s="116"/>
    </x:row>
    <x:row r="37" ht="16.799999237060547">
      <x:c r="A37" s="38" t="str">
        <x:v>PB07</x:v>
      </x:c>
      <x:c r="B37" s="97" t="str">
        <x:v>Implement password-reset token and API</x:v>
      </x:c>
      <x:c r="C37" s="98"/>
      <x:c r="D37" s="38" t="str">
        <x:v>Khoa</x:v>
      </x:c>
      <x:c r="E37" s="37"/>
      <x:c r="F37" s="116"/>
      <x:c r="G37" s="116"/>
      <x:c r="H37" s="116"/>
      <x:c r="I37" s="116"/>
      <x:c r="J37" s="116"/>
      <x:c r="K37" s="116"/>
      <x:c r="L37" s="116"/>
      <x:c r="M37" s="116"/>
      <x:c r="N37" s="116"/>
      <x:c r="O37" s="116"/>
      <x:c r="P37" s="116"/>
      <x:c r="Q37" s="116"/>
      <x:c r="R37" s="116"/>
      <x:c r="S37" s="116"/>
    </x:row>
    <x:row r="38" ht="16.799999237060547">
      <x:c r="A38" s="38" t="str">
        <x:v>PB07</x:v>
      </x:c>
      <x:c r="B38" s="97" t="str">
        <x:v>Build password recovery UI and email flow</x:v>
      </x:c>
      <x:c r="C38" s="98"/>
      <x:c r="D38" s="38" t="str">
        <x:v>Hung</x:v>
      </x:c>
      <x:c r="E38" s="37"/>
      <x:c r="F38" s="116"/>
      <x:c r="G38" s="116"/>
      <x:c r="H38" s="116"/>
      <x:c r="I38" s="116"/>
      <x:c r="J38" s="116"/>
      <x:c r="K38" s="116"/>
      <x:c r="L38" s="116"/>
      <x:c r="M38" s="116"/>
      <x:c r="N38" s="116"/>
      <x:c r="O38" s="116"/>
      <x:c r="P38" s="116"/>
      <x:c r="Q38" s="116"/>
      <x:c r="R38" s="116"/>
      <x:c r="S38" s="116"/>
    </x:row>
    <x:row r="39" ht="16.799999237060547">
      <x:c r="A39" s="38" t="str">
        <x:v>PB07</x:v>
      </x:c>
      <x:c r="B39" s="97" t="str">
        <x:v>Test password recovery</x:v>
      </x:c>
      <x:c r="C39" s="98"/>
      <x:c r="D39" s="38" t="str">
        <x:v>Vuong</x:v>
      </x:c>
      <x:c r="E39" s="37"/>
      <x:c r="F39" s="116"/>
      <x:c r="G39" s="116"/>
      <x:c r="H39" s="116"/>
      <x:c r="I39" s="116"/>
      <x:c r="J39" s="116"/>
      <x:c r="K39" s="116"/>
      <x:c r="L39" s="116"/>
      <x:c r="M39" s="116"/>
      <x:c r="N39" s="116"/>
      <x:c r="O39" s="116"/>
      <x:c r="P39" s="116"/>
      <x:c r="Q39" s="116"/>
      <x:c r="R39" s="116"/>
      <x:c r="S39" s="116"/>
    </x:row>
    <x:row r="40" ht="16.799999237060547">
      <x:c r="A40" s="38" t="str">
        <x:v>PB08</x:v>
      </x:c>
      <x:c r="B40" s="97" t="str">
        <x:v>Create role and permission schema</x:v>
      </x:c>
      <x:c r="C40" s="98"/>
      <x:c r="D40" s="38" t="str">
        <x:v>Khoa</x:v>
      </x:c>
      <x:c r="E40" s="37"/>
      <x:c r="F40" s="116"/>
      <x:c r="G40" s="116"/>
      <x:c r="H40" s="116"/>
      <x:c r="I40" s="116"/>
      <x:c r="J40" s="116"/>
      <x:c r="K40" s="116"/>
      <x:c r="L40" s="116"/>
      <x:c r="M40" s="116"/>
      <x:c r="N40" s="116"/>
      <x:c r="O40" s="116"/>
      <x:c r="P40" s="116"/>
      <x:c r="Q40" s="116"/>
      <x:c r="R40" s="116"/>
      <x:c r="S40" s="116"/>
    </x:row>
    <x:row r="41" ht="16.799999237060547">
      <x:c r="A41" s="38" t="str">
        <x:v>PB08</x:v>
      </x:c>
      <x:c r="B41" s="97" t="str">
        <x:v>Implement RBAC middleware</x:v>
      </x:c>
      <x:c r="C41" s="98"/>
      <x:c r="D41" s="38" t="str">
        <x:v>Khoa</x:v>
      </x:c>
      <x:c r="E41" s="37"/>
      <x:c r="F41" s="116"/>
      <x:c r="G41" s="116"/>
      <x:c r="H41" s="116"/>
      <x:c r="I41" s="116"/>
      <x:c r="J41" s="116"/>
      <x:c r="K41" s="116"/>
      <x:c r="L41" s="116"/>
      <x:c r="M41" s="116"/>
      <x:c r="N41" s="116"/>
      <x:c r="O41" s="116"/>
      <x:c r="P41" s="116"/>
      <x:c r="Q41" s="116"/>
      <x:c r="R41" s="116"/>
      <x:c r="S41" s="116"/>
    </x:row>
    <x:row r="42" ht="16.799999237060547">
      <x:c r="A42" s="38" t="str">
        <x:v>PB08</x:v>
      </x:c>
      <x:c r="B42" s="97" t="str">
        <x:v>Test authorization rules</x:v>
      </x:c>
      <x:c r="C42" s="98"/>
      <x:c r="D42" s="38" t="str">
        <x:v>Vuong</x:v>
      </x:c>
      <x:c r="E42" s="37"/>
      <x:c r="F42" s="116"/>
      <x:c r="G42" s="116"/>
      <x:c r="H42" s="116"/>
      <x:c r="I42" s="116"/>
      <x:c r="J42" s="116"/>
      <x:c r="K42" s="116"/>
      <x:c r="L42" s="116"/>
      <x:c r="M42" s="116"/>
      <x:c r="N42" s="116"/>
      <x:c r="O42" s="116"/>
      <x:c r="P42" s="116"/>
      <x:c r="Q42" s="116"/>
      <x:c r="R42" s="116"/>
      <x:c r="S42" s="116"/>
    </x:row>
    <x:row r="43" ht="16.799999237060547">
      <x:c r="A43" s="38" t="str">
        <x:v>PB09</x:v>
      </x:c>
      <x:c r="B43" s="97" t="str">
        <x:v>Implement account list and detail API</x:v>
      </x:c>
      <x:c r="C43" s="98"/>
      <x:c r="D43" s="38" t="str">
        <x:v>Vuong</x:v>
      </x:c>
      <x:c r="E43" s="37"/>
      <x:c r="F43" s="116"/>
      <x:c r="G43" s="116"/>
      <x:c r="H43" s="116"/>
      <x:c r="I43" s="116"/>
      <x:c r="J43" s="116"/>
      <x:c r="K43" s="116"/>
      <x:c r="L43" s="116"/>
      <x:c r="M43" s="116"/>
      <x:c r="N43" s="116"/>
      <x:c r="O43" s="116"/>
      <x:c r="P43" s="116"/>
      <x:c r="Q43" s="116"/>
      <x:c r="R43" s="116"/>
      <x:c r="S43" s="116"/>
    </x:row>
    <x:row r="44" ht="16.799999237060547">
      <x:c r="A44" s="38" t="str">
        <x:v>PB09</x:v>
      </x:c>
      <x:c r="B44" s="97" t="str">
        <x:v>Implement role assignment and update</x:v>
      </x:c>
      <x:c r="C44" s="98"/>
      <x:c r="D44" s="38" t="str">
        <x:v>Nguyen</x:v>
      </x:c>
      <x:c r="E44" s="37"/>
      <x:c r="F44" s="116"/>
      <x:c r="G44" s="116"/>
      <x:c r="H44" s="116"/>
      <x:c r="I44" s="116"/>
      <x:c r="J44" s="116"/>
      <x:c r="K44" s="116"/>
      <x:c r="L44" s="116"/>
      <x:c r="M44" s="116"/>
      <x:c r="N44" s="116"/>
      <x:c r="O44" s="116"/>
      <x:c r="P44" s="116"/>
      <x:c r="Q44" s="116"/>
      <x:c r="R44" s="116"/>
      <x:c r="S44" s="116"/>
    </x:row>
    <x:row r="45" ht="16.799999237060547">
      <x:c r="A45" s="38" t="str">
        <x:v>PB09</x:v>
      </x:c>
      <x:c r="B45" s="97" t="str">
        <x:v>Test account and role management</x:v>
      </x:c>
      <x:c r="C45" s="98"/>
      <x:c r="D45" s="38" t="str">
        <x:v>Vuong</x:v>
      </x:c>
      <x:c r="E45" s="37"/>
      <x:c r="F45" s="116"/>
      <x:c r="G45" s="116"/>
      <x:c r="H45" s="116"/>
      <x:c r="I45" s="116"/>
      <x:c r="J45" s="116"/>
      <x:c r="K45" s="116"/>
      <x:c r="L45" s="116"/>
      <x:c r="M45" s="116"/>
      <x:c r="N45" s="116"/>
      <x:c r="O45" s="116"/>
      <x:c r="P45" s="116"/>
      <x:c r="Q45" s="116"/>
      <x:c r="R45" s="116"/>
      <x:c r="S45" s="116"/>
    </x:row>
    <x:row r="46" ht="16.799999237060547">
      <x:c r="A46" s="38" t="str">
        <x:v>PB10</x:v>
      </x:c>
      <x:c r="B46" s="97" t="str">
        <x:v>Implement Course CRUD API</x:v>
      </x:c>
      <x:c r="C46" s="98"/>
      <x:c r="D46" s="38" t="str">
        <x:v>Hung</x:v>
      </x:c>
      <x:c r="E46" s="37"/>
      <x:c r="F46" s="116"/>
      <x:c r="G46" s="116"/>
      <x:c r="H46" s="116"/>
      <x:c r="I46" s="116"/>
      <x:c r="J46" s="116"/>
      <x:c r="K46" s="116"/>
      <x:c r="L46" s="116"/>
      <x:c r="M46" s="116"/>
      <x:c r="N46" s="116"/>
      <x:c r="O46" s="116"/>
      <x:c r="P46" s="116"/>
      <x:c r="Q46" s="116"/>
      <x:c r="R46" s="116"/>
      <x:c r="S46" s="116"/>
    </x:row>
    <x:row r="47" ht="16.799999237060547">
      <x:c r="A47" s="38" t="str">
        <x:v>PB10</x:v>
      </x:c>
      <x:c r="B47" s="97" t="str">
        <x:v>Build Lecturer course management UI</x:v>
      </x:c>
      <x:c r="C47" s="98"/>
      <x:c r="D47" s="38" t="str">
        <x:v>Hung</x:v>
      </x:c>
      <x:c r="E47" s="37"/>
      <x:c r="F47" s="116"/>
      <x:c r="G47" s="116"/>
      <x:c r="H47" s="116"/>
      <x:c r="I47" s="116"/>
      <x:c r="J47" s="116"/>
      <x:c r="K47" s="116"/>
      <x:c r="L47" s="116"/>
      <x:c r="M47" s="116"/>
      <x:c r="N47" s="116"/>
      <x:c r="O47" s="116"/>
      <x:c r="P47" s="116"/>
      <x:c r="Q47" s="116"/>
      <x:c r="R47" s="116"/>
      <x:c r="S47" s="116"/>
    </x:row>
    <x:row r="48" ht="16.799999237060547">
      <x:c r="A48" s="38" t="str">
        <x:v>PB10</x:v>
      </x:c>
      <x:c r="B48" s="97" t="str">
        <x:v>Test course management integration</x:v>
      </x:c>
      <x:c r="C48" s="98"/>
      <x:c r="D48" s="38" t="str">
        <x:v>Hung</x:v>
      </x:c>
      <x:c r="E48" s="37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16"/>
      <x:c r="P48" s="116"/>
      <x:c r="Q48" s="116"/>
      <x:c r="R48" s="116"/>
      <x:c r="S48" s="116"/>
    </x:row>
    <x:row r="49" ht="16.799999237060547">
      <x:c r="A49" s="38" t="str">
        <x:v>PB11</x:v>
      </x:c>
      <x:c r="B49" s="97" t="str">
        <x:v>Create course access and enrollment model</x:v>
      </x:c>
      <x:c r="C49" s="98"/>
      <x:c r="D49" s="38" t="str">
        <x:v>Khoa</x:v>
      </x:c>
      <x:c r="E49" s="37"/>
      <x:c r="F49" s="116"/>
      <x:c r="G49" s="116"/>
      <x:c r="H49" s="116"/>
      <x:c r="I49" s="116"/>
      <x:c r="J49" s="116"/>
      <x:c r="K49" s="116"/>
      <x:c r="L49" s="116"/>
      <x:c r="M49" s="116"/>
      <x:c r="N49" s="116"/>
      <x:c r="O49" s="116"/>
      <x:c r="P49" s="116"/>
      <x:c r="Q49" s="116"/>
      <x:c r="R49" s="116"/>
      <x:c r="S49" s="116"/>
    </x:row>
    <x:row r="50" ht="16.799999237060547">
      <x:c r="A50" s="38" t="str">
        <x:v>PB11</x:v>
      </x:c>
      <x:c r="B50" s="97" t="str">
        <x:v>Implement course access middleware</x:v>
      </x:c>
      <x:c r="C50" s="98"/>
      <x:c r="D50" s="38" t="str">
        <x:v>Vuong</x:v>
      </x:c>
      <x:c r="E50" s="37"/>
      <x:c r="F50" s="116"/>
      <x:c r="G50" s="116"/>
      <x:c r="H50" s="116"/>
      <x:c r="I50" s="116"/>
      <x:c r="J50" s="116"/>
      <x:c r="K50" s="116"/>
      <x:c r="L50" s="116"/>
      <x:c r="M50" s="116"/>
      <x:c r="N50" s="116"/>
      <x:c r="O50" s="116"/>
      <x:c r="P50" s="116"/>
      <x:c r="Q50" s="116"/>
      <x:c r="R50" s="116"/>
      <x:c r="S50" s="116"/>
    </x:row>
    <x:row r="51" ht="16.799999237060547">
      <x:c r="A51" s="38" t="str">
        <x:v>PB11</x:v>
      </x:c>
      <x:c r="B51" s="97" t="str">
        <x:v>Test Lecturer and Student access</x:v>
      </x:c>
      <x:c r="C51" s="98"/>
      <x:c r="D51" s="38" t="str">
        <x:v>Vuong</x:v>
      </x:c>
      <x:c r="E51" s="37"/>
      <x:c r="F51" s="116"/>
      <x:c r="G51" s="116"/>
      <x:c r="H51" s="116"/>
      <x:c r="I51" s="116"/>
      <x:c r="J51" s="116"/>
      <x:c r="K51" s="116"/>
      <x:c r="L51" s="116"/>
      <x:c r="M51" s="116"/>
      <x:c r="N51" s="116"/>
      <x:c r="O51" s="116"/>
      <x:c r="P51" s="116"/>
      <x:c r="Q51" s="116"/>
      <x:c r="R51" s="116"/>
      <x:c r="S51" s="116"/>
    </x:row>
    <x:row r="52" ht="16.799999237060547">
      <x:c r="A52" s="38" t="str">
        <x:v>PB12</x:v>
      </x:c>
      <x:c r="B52" s="97" t="str">
        <x:v>Implement document upload API</x:v>
      </x:c>
      <x:c r="C52" s="98"/>
      <x:c r="D52" s="38" t="str">
        <x:v>Vuong</x:v>
      </x:c>
      <x:c r="E52" s="37"/>
      <x:c r="F52" s="116"/>
      <x:c r="G52" s="116"/>
      <x:c r="H52" s="116"/>
      <x:c r="I52" s="116"/>
      <x:c r="J52" s="116"/>
      <x:c r="K52" s="116"/>
      <x:c r="L52" s="116"/>
      <x:c r="M52" s="116"/>
      <x:c r="N52" s="116"/>
      <x:c r="O52" s="116"/>
      <x:c r="P52" s="116"/>
      <x:c r="Q52" s="116"/>
      <x:c r="R52" s="116"/>
      <x:c r="S52" s="116"/>
    </x:row>
    <x:row r="53" ht="16.799999237060547">
      <x:c r="A53" s="38" t="str">
        <x:v>PB12</x:v>
      </x:c>
      <x:c r="B53" s="97" t="str">
        <x:v>Build document upload UI</x:v>
      </x:c>
      <x:c r="C53" s="98"/>
      <x:c r="D53" s="38" t="str">
        <x:v>Hung</x:v>
      </x:c>
      <x:c r="E53" s="37"/>
      <x:c r="F53" s="116"/>
      <x:c r="G53" s="116"/>
      <x:c r="H53" s="116"/>
      <x:c r="I53" s="116"/>
      <x:c r="J53" s="116"/>
      <x:c r="K53" s="116"/>
      <x:c r="L53" s="116"/>
      <x:c r="M53" s="116"/>
      <x:c r="N53" s="116"/>
      <x:c r="O53" s="116"/>
      <x:c r="P53" s="116"/>
      <x:c r="Q53" s="116"/>
      <x:c r="R53" s="116"/>
      <x:c r="S53" s="116"/>
    </x:row>
    <x:row r="54" ht="16.799999237060547">
      <x:c r="A54" s="38" t="str">
        <x:v>PB12</x:v>
      </x:c>
      <x:c r="B54" s="97" t="str">
        <x:v>Validate file type, size, and upload errors</x:v>
      </x:c>
      <x:c r="C54" s="98"/>
      <x:c r="D54" s="38" t="str">
        <x:v>Vuong</x:v>
      </x:c>
      <x:c r="E54" s="37"/>
      <x:c r="F54" s="116"/>
      <x:c r="G54" s="116"/>
      <x:c r="H54" s="116"/>
      <x:c r="I54" s="116"/>
      <x:c r="J54" s="116"/>
      <x:c r="K54" s="116"/>
      <x:c r="L54" s="116"/>
      <x:c r="M54" s="116"/>
      <x:c r="N54" s="116"/>
      <x:c r="O54" s="116"/>
      <x:c r="P54" s="116"/>
      <x:c r="Q54" s="116"/>
      <x:c r="R54" s="116"/>
      <x:c r="S54" s="116"/>
    </x:row>
    <x:row r="55" ht="16.799999237060547">
      <x:c r="A55" s="38" t="str">
        <x:v>PB13</x:v>
      </x:c>
      <x:c r="B55" s="101" t="str">
        <x:v>Create document metadata schema</x:v>
      </x:c>
      <x:c r="C55" s="100"/>
      <x:c r="D55" s="38" t="str">
        <x:v>Nguyen</x:v>
      </x:c>
      <x:c r="E55" s="37"/>
      <x:c r="F55" s="116"/>
      <x:c r="G55" s="116"/>
      <x:c r="H55" s="116"/>
      <x:c r="I55" s="116"/>
      <x:c r="J55" s="116"/>
      <x:c r="K55" s="116"/>
      <x:c r="L55" s="116"/>
      <x:c r="M55" s="116"/>
      <x:c r="N55" s="116"/>
      <x:c r="O55" s="116"/>
      <x:c r="P55" s="116"/>
      <x:c r="Q55" s="116"/>
      <x:c r="R55" s="116"/>
      <x:c r="S55" s="116"/>
    </x:row>
    <x:row r="56" ht="16.799999237060547">
      <x:c r="A56" s="38" t="str">
        <x:v>PB13</x:v>
      </x:c>
      <x:c r="B56" s="99" t="str">
        <x:v>Implement processing status tracking</x:v>
      </x:c>
      <x:c r="C56" s="100"/>
      <x:c r="D56" s="38" t="str">
        <x:v>Nguyen</x:v>
      </x:c>
      <x:c r="E56" s="37"/>
      <x:c r="F56" s="116"/>
      <x:c r="G56" s="116"/>
      <x:c r="H56" s="116"/>
      <x:c r="I56" s="116"/>
      <x:c r="J56" s="116"/>
      <x:c r="K56" s="116"/>
      <x:c r="L56" s="116"/>
      <x:c r="M56" s="116"/>
      <x:c r="N56" s="116"/>
      <x:c r="O56" s="116"/>
      <x:c r="P56" s="116"/>
      <x:c r="Q56" s="116"/>
      <x:c r="R56" s="116"/>
      <x:c r="S56" s="116"/>
    </x:row>
    <x:row r="57" ht="16.799999237060547">
      <x:c r="A57" s="38" t="str">
        <x:v>PB13</x:v>
      </x:c>
      <x:c r="B57" s="99" t="str">
        <x:v>Display metadata and processing status</x:v>
      </x:c>
      <x:c r="C57" s="100"/>
      <x:c r="D57" s="38" t="str">
        <x:v>Nguyen</x:v>
      </x:c>
      <x:c r="E57" s="37"/>
      <x:c r="F57" s="116"/>
      <x:c r="G57" s="116"/>
      <x:c r="H57" s="116"/>
      <x:c r="I57" s="116"/>
      <x:c r="J57" s="116"/>
      <x:c r="K57" s="116"/>
      <x:c r="L57" s="116"/>
      <x:c r="M57" s="116"/>
      <x:c r="N57" s="116"/>
      <x:c r="O57" s="116"/>
      <x:c r="P57" s="116"/>
      <x:c r="Q57" s="116"/>
      <x:c r="R57" s="116"/>
      <x:c r="S57" s="116"/>
    </x:row>
    <x:row r="58" ht="16.799999237060547">
      <x:c r="A58" s="38" t="str">
        <x:v>PB14</x:v>
      </x:c>
      <x:c r="B58" s="99" t="str">
        <x:v>Implement document list and search</x:v>
      </x:c>
      <x:c r="C58" s="100"/>
      <x:c r="D58" s="38" t="str">
        <x:v>Nguyen</x:v>
      </x:c>
      <x:c r="E58" s="37"/>
      <x:c r="F58" s="116"/>
      <x:c r="G58" s="116"/>
      <x:c r="H58" s="116"/>
      <x:c r="I58" s="116"/>
      <x:c r="J58" s="116"/>
      <x:c r="K58" s="116"/>
      <x:c r="L58" s="116"/>
      <x:c r="M58" s="116"/>
      <x:c r="N58" s="116"/>
      <x:c r="O58" s="116"/>
      <x:c r="P58" s="116"/>
      <x:c r="Q58" s="116"/>
      <x:c r="R58" s="116"/>
      <x:c r="S58" s="116"/>
    </x:row>
    <x:row r="59" ht="16.799999237060547">
      <x:c r="A59" s="38" t="str">
        <x:v>PB14</x:v>
      </x:c>
      <x:c r="B59" s="99" t="str">
        <x:v>Implement download and delete actions</x:v>
      </x:c>
      <x:c r="C59" s="100"/>
      <x:c r="D59" s="38" t="str">
        <x:v>Nguyen</x:v>
      </x:c>
      <x:c r="E59" s="37"/>
      <x:c r="F59" s="116"/>
      <x:c r="G59" s="116"/>
      <x:c r="H59" s="116"/>
      <x:c r="I59" s="116"/>
      <x:c r="J59" s="116"/>
      <x:c r="K59" s="116"/>
      <x:c r="L59" s="116"/>
      <x:c r="M59" s="116"/>
      <x:c r="N59" s="116"/>
      <x:c r="O59" s="116"/>
      <x:c r="P59" s="116"/>
      <x:c r="Q59" s="116"/>
      <x:c r="R59" s="116"/>
      <x:c r="S59" s="116"/>
    </x:row>
    <x:row r="60" ht="16.799999237060547">
      <x:c r="A60" s="38" t="str">
        <x:v>PB14</x:v>
      </x:c>
      <x:c r="B60" s="99" t="str">
        <x:v>Test document management integration</x:v>
      </x:c>
      <x:c r="C60" s="100"/>
      <x:c r="D60" s="38" t="str">
        <x:v>Nguyen</x:v>
      </x:c>
      <x:c r="E60" s="37"/>
      <x:c r="F60" s="116"/>
      <x:c r="G60" s="116"/>
      <x:c r="H60" s="116"/>
      <x:c r="I60" s="116"/>
      <x:c r="J60" s="116"/>
      <x:c r="K60" s="116"/>
      <x:c r="L60" s="116"/>
      <x:c r="M60" s="116"/>
      <x:c r="N60" s="116"/>
      <x:c r="O60" s="116"/>
      <x:c r="P60" s="116"/>
      <x:c r="Q60" s="116"/>
      <x:c r="R60" s="116"/>
      <x:c r="S60" s="116"/>
    </x:row>
    <x:row r="61" ht="16.799999237060547">
      <x:c r="A61" s="38" t="str">
        <x:v>SPR1</x:v>
      </x:c>
      <x:c r="B61" s="99" t="str">
        <x:v>Integrate Sprint 1 modules and resolve conflicts</x:v>
      </x:c>
      <x:c r="C61" s="100"/>
      <x:c r="D61" s="38" t="str">
        <x:v>All Members</x:v>
      </x:c>
      <x:c r="E61" s="37"/>
      <x:c r="F61" s="116"/>
      <x:c r="G61" s="116"/>
      <x:c r="H61" s="116"/>
      <x:c r="I61" s="116"/>
      <x:c r="J61" s="116"/>
      <x:c r="K61" s="116"/>
      <x:c r="L61" s="116"/>
      <x:c r="M61" s="116"/>
      <x:c r="N61" s="116"/>
      <x:c r="O61" s="116"/>
      <x:c r="P61" s="116"/>
      <x:c r="Q61" s="116"/>
      <x:c r="R61" s="116"/>
      <x:c r="S61" s="116"/>
    </x:row>
    <x:row r="62" ht="16.799999237060547">
      <x:c r="A62" s="38" t="str">
        <x:v>SPR1</x:v>
      </x:c>
      <x:c r="B62" s="99" t="str">
        <x:v>Run regression tests and fix defects</x:v>
      </x:c>
      <x:c r="C62" s="100"/>
      <x:c r="D62" s="38" t="str">
        <x:v>All Members</x:v>
      </x:c>
      <x:c r="E62" s="37"/>
      <x:c r="F62" s="116"/>
      <x:c r="G62" s="116"/>
      <x:c r="H62" s="116"/>
      <x:c r="I62" s="116"/>
      <x:c r="J62" s="116"/>
      <x:c r="K62" s="116"/>
      <x:c r="L62" s="116"/>
      <x:c r="M62" s="116"/>
      <x:c r="N62" s="116"/>
      <x:c r="O62" s="116"/>
      <x:c r="P62" s="116"/>
      <x:c r="Q62" s="116"/>
      <x:c r="R62" s="116"/>
      <x:c r="S62" s="116"/>
    </x:row>
    <x:row r="63" ht="16.799999237060547">
      <x:c r="A63" s="38" t="str">
        <x:v>SPR1</x:v>
      </x:c>
      <x:c r="B63" s="99" t="str">
        <x:v>Conduct Sprint Review and Retrospective</x:v>
      </x:c>
      <x:c r="C63" s="100"/>
      <x:c r="D63" s="38" t="str">
        <x:v>All Members</x:v>
      </x:c>
      <x:c r="E63" s="37"/>
      <x:c r="F63" s="116"/>
      <x:c r="G63" s="116"/>
      <x:c r="H63" s="116"/>
      <x:c r="I63" s="116"/>
      <x:c r="J63" s="116"/>
      <x:c r="K63" s="116"/>
      <x:c r="L63" s="116"/>
      <x:c r="M63" s="116"/>
      <x:c r="N63" s="116"/>
      <x:c r="O63" s="116"/>
      <x:c r="P63" s="116"/>
      <x:c r="Q63" s="116"/>
      <x:c r="R63" s="116"/>
      <x:c r="S63" s="116"/>
    </x:row>
    <x:row r="64" ht="16.799999237060547">
      <x:c r="A64" s="22"/>
      <x:c r="B64" s="22"/>
      <x:c r="C64" s="22"/>
      <x:c r="D64" s="23" t="s">
        <x:v>15</x:v>
      </x:c>
      <x:c r="E64" s="24" t="str">
        <x:f t="shared" ref="E64:S64" si="0">IF(COUNTA(E16:E63)=0,"",SUM(E16:E63))</x:f>
      </x:c>
      <x:c r="F64" s="24" t="str">
        <x:f t="shared" si="0">IF(COUNTA(F16:F63)=0,"",SUM(F16:F63))</x:f>
      </x:c>
      <x:c r="G64" s="24" t="str">
        <x:f t="shared" si="0">IF(COUNTA(G16:G63)=0,"",SUM(G16:G63))</x:f>
      </x:c>
      <x:c r="H64" s="24" t="str">
        <x:f t="shared" si="0">IF(COUNTA(H16:H63)=0,"",SUM(H16:H63))</x:f>
      </x:c>
      <x:c r="I64" s="24" t="str">
        <x:f t="shared" si="0">IF(COUNTA(I16:I63)=0,"",SUM(I16:I63))</x:f>
      </x:c>
      <x:c r="J64" s="24" t="str">
        <x:f t="shared" si="0">IF(COUNTA(J16:J63)=0,"",SUM(J16:J63))</x:f>
      </x:c>
      <x:c r="K64" s="24" t="str">
        <x:f t="shared" si="0">IF(COUNTA(K16:K63)=0,"",SUM(K16:K63))</x:f>
      </x:c>
      <x:c r="L64" s="24" t="str">
        <x:f t="shared" si="0">IF(COUNTA(L16:L63)=0,"",SUM(L16:L63))</x:f>
      </x:c>
      <x:c r="M64" s="24" t="str">
        <x:f t="shared" si="0">IF(COUNTA(M16:M63)=0,"",SUM(M16:M63))</x:f>
      </x:c>
      <x:c r="N64" s="24" t="str">
        <x:f t="shared" si="0">IF(COUNTA(N16:N63)=0,"",SUM(N16:N63))</x:f>
      </x:c>
      <x:c r="O64" s="24" t="str">
        <x:f t="shared" si="0">IF(COUNTA(O16:O63)=0,"",SUM(O16:O63))</x:f>
      </x:c>
      <x:c r="P64" s="24" t="str">
        <x:f t="shared" si="0">IF(COUNTA(P16:P63)=0,"",SUM(P16:P63))</x:f>
      </x:c>
      <x:c r="Q64" s="24" t="str">
        <x:f t="shared" si="0">IF(COUNTA(Q16:Q63)=0,"",SUM(Q16:Q63))</x:f>
      </x:c>
      <x:c r="R64" s="24" t="str">
        <x:f t="shared" si="0">IF(COUNTA(R16:R63)=0,"",SUM(R16:R63))</x:f>
      </x:c>
      <x:c r="S64" s="24" t="str">
        <x:f t="shared" si="0">IF(COUNTA(S16:S63)=0,"",SUM(S16:S63))</x:f>
      </x:c>
    </x:row>
    <x:row r="65" ht="7.349999904632568" customHeight="1">
      <x:c r="D65" s="10"/>
    </x:row>
    <x:row r="66" ht="7.349999904632568" customHeight="1">
      <x:c r="D66" s="10"/>
      <x:c r="E66" s="11"/>
    </x:row>
    <x:row r="67" ht="7.349999904632568" customHeight="1">
      <x:c r="D67" s="10"/>
      <x:c r="E67" s="11"/>
    </x:row>
    <x:row r="68" ht="7.349999904632568" customHeight="1">
      <x:c r="D68" s="10"/>
      <x:c r="E68" s="11"/>
    </x:row>
    <x:row r="69" ht="7.349999904632568" customHeight="1">
      <x:c r="D69" s="10"/>
      <x:c r="E69" s="11"/>
    </x:row>
    <x:row r="70" ht="7.349999904632568" customHeight="1">
      <x:c r="D70" s="10"/>
      <x:c r="E70" s="11"/>
    </x:row>
    <x:row r="71" ht="7.349999904632568" customHeight="1">
      <x:c r="D71" s="10"/>
      <x:c r="E71" s="11"/>
    </x:row>
    <x:row r="72" ht="7.349999904632568" customHeight="1">
      <x:c r="D72" s="10"/>
      <x:c r="E72" s="11"/>
    </x:row>
    <x:row r="73" ht="7.349999904632568" customHeight="1">
      <x:c r="D73" s="10"/>
      <x:c r="E73" s="11"/>
    </x:row>
    <x:row r="74" ht="7.349999904632568" customHeight="1">
      <x:c r="D74" s="10"/>
      <x:c r="E74" s="11"/>
    </x:row>
    <x:row r="75" ht="7.349999904632568" customHeight="1">
      <x:c r="D75" s="10"/>
      <x:c r="E75" s="11"/>
    </x:row>
    <x:row r="76" ht="7.349999904632568" customHeight="1">
      <x:c r="D76" s="10"/>
      <x:c r="E76" s="11"/>
    </x:row>
    <x:row r="77" ht="7.349999904632568" customHeight="1">
      <x:c r="D77" s="10"/>
      <x:c r="E77" s="11"/>
    </x:row>
    <x:row r="78" ht="7.349999904632568" customHeight="1">
      <x:c r="D78" s="10"/>
      <x:c r="E78" s="11"/>
    </x:row>
    <x:row r="79" ht="7.349999904632568" customHeight="1">
      <x:c r="D79" s="10"/>
      <x:c r="E79" s="11"/>
    </x:row>
    <x:row r="80" ht="7.349999904632568" customHeight="1">
      <x:c r="D80" s="10"/>
      <x:c r="E80" s="11"/>
    </x:row>
    <x:row r="81" ht="7.349999904632568" customHeight="1">
      <x:c r="D81" s="10"/>
      <x:c r="E81" s="11"/>
    </x:row>
    <x:row r="82" ht="7.349999904632568" customHeight="1">
      <x:c r="D82" s="10"/>
      <x:c r="E82" s="11"/>
    </x:row>
    <x:row r="83" ht="7.349999904632568" customHeight="1">
      <x:c r="D83" s="10"/>
      <x:c r="E83" s="11"/>
    </x:row>
    <x:row r="84" ht="7.349999904632568" customHeight="1">
      <x:c r="D84" s="10"/>
      <x:c r="E84" s="11"/>
    </x:row>
    <x:row r="85" ht="7.349999904632568" customHeight="1">
      <x:c r="D85" s="10"/>
      <x:c r="E85" s="11"/>
    </x:row>
    <x:row r="86" ht="7.349999904632568" customHeight="1">
      <x:c r="D86" s="10"/>
      <x:c r="E86" s="11"/>
    </x:row>
    <x:row r="87" ht="7.349999904632568" customHeight="1">
      <x:c r="D87" s="10"/>
      <x:c r="E87" s="11"/>
    </x:row>
    <x:row r="88" ht="7.349999904632568" customHeight="1">
      <x:c r="D88" s="10"/>
      <x:c r="E88" s="11"/>
    </x:row>
    <x:row r="89" ht="7.349999904632568" customHeight="1">
      <x:c r="D89" s="10"/>
      <x:c r="E89" s="11"/>
    </x:row>
    <x:row r="90" ht="7.349999904632568" customHeight="1">
      <x:c r="D90" s="10"/>
      <x:c r="E90" s="11"/>
    </x:row>
    <x:row r="91" ht="7.349999904632568" customHeight="1">
      <x:c r="D91" s="10"/>
      <x:c r="E91" s="11"/>
    </x:row>
    <x:row r="92" ht="7.349999904632568" customHeight="1">
      <x:c r="D92" s="10"/>
      <x:c r="E92" s="11"/>
    </x:row>
    <x:row r="93" ht="7.349999904632568" customHeight="1">
      <x:c r="D93" s="10"/>
      <x:c r="E93" s="11"/>
    </x:row>
    <x:row r="94" ht="7.349999904632568" customHeight="1">
      <x:c r="D94" s="10"/>
      <x:c r="E94" s="11"/>
    </x:row>
    <x:row r="95" ht="7.349999904632568" customHeight="1">
      <x:c r="D95" s="10"/>
      <x:c r="E95" s="11"/>
    </x:row>
    <x:row r="96" ht="7.349999904632568" customHeight="1">
      <x:c r="D96" s="10"/>
      <x:c r="E96" s="11"/>
    </x:row>
    <x:row r="97" ht="7.349999904632568" customHeight="1">
      <x:c r="D97" s="10"/>
      <x:c r="E97" s="11"/>
    </x:row>
    <x:row r="98" ht="7.349999904632568" customHeight="1">
      <x:c r="D98" s="10"/>
      <x:c r="E98" s="11"/>
    </x:row>
    <x:row r="99" ht="7.349999904632568" customHeight="1">
      <x:c r="D99" s="10"/>
      <x:c r="E99" s="11"/>
    </x:row>
    <x:row r="100" ht="7.349999904632568" customHeight="1">
      <x:c r="D100" s="10"/>
      <x:c r="E100" s="11"/>
    </x:row>
    <x:row r="101" ht="7.349999904632568" customHeight="1">
      <x:c r="D101" s="10"/>
      <x:c r="E101" s="11"/>
    </x:row>
    <x:row r="102" ht="7.349999904632568" customHeight="1">
      <x:c r="D102" s="10"/>
      <x:c r="E102" s="11"/>
    </x:row>
    <x:row r="103" ht="7.349999904632568" customHeight="1">
      <x:c r="D103" s="10"/>
      <x:c r="E103" s="11"/>
    </x:row>
    <x:row r="104" ht="7.349999904632568" customHeight="1">
      <x:c r="D104" s="10"/>
      <x:c r="E104" s="11"/>
    </x:row>
    <x:row r="105" ht="7.349999904632568" customHeight="1">
      <x:c r="D105" s="10"/>
      <x:c r="E105" s="11"/>
    </x:row>
    <x:row r="106" ht="7.349999904632568" customHeight="1">
      <x:c r="D106" s="10"/>
      <x:c r="E106" s="11"/>
    </x:row>
    <x:row r="107" ht="7.349999904632568" customHeight="1">
      <x:c r="D107" s="10"/>
      <x:c r="E107" s="11"/>
    </x:row>
    <x:row r="108" ht="7.349999904632568" customHeight="1">
      <x:c r="D108" s="10"/>
      <x:c r="E108" s="11"/>
    </x:row>
    <x:row r="109" ht="7.349999904632568" customHeight="1">
      <x:c r="D109" s="10"/>
      <x:c r="E109" s="11"/>
    </x:row>
    <x:row r="110" ht="7.349999904632568" customHeight="1">
      <x:c r="D110" s="10"/>
      <x:c r="E110" s="11"/>
    </x:row>
    <x:row r="111" ht="7.349999904632568" customHeight="1">
      <x:c r="D111" s="10"/>
      <x:c r="E111" s="11"/>
    </x:row>
    <x:row r="112" ht="7.349999904632568" customHeight="1">
      <x:c r="D112" s="10"/>
      <x:c r="E112" s="11"/>
    </x:row>
    <x:row r="113" ht="7.349999904632568" customHeight="1">
      <x:c r="D113" s="10"/>
      <x:c r="E113" s="11"/>
    </x:row>
    <x:row r="114" ht="7.349999904632568" customHeight="1">
      <x:c r="D114" s="10"/>
      <x:c r="E114" s="11"/>
    </x:row>
    <x:row r="115" ht="7.349999904632568" customHeight="1">
      <x:c r="D115" s="10"/>
      <x:c r="E115" s="11"/>
    </x:row>
    <x:row r="116" ht="7.349999904632568" customHeight="1">
      <x:c r="D116" s="10"/>
      <x:c r="E116" s="11"/>
    </x:row>
    <x:row r="117" ht="7.349999904632568" customHeight="1">
      <x:c r="D117" s="10"/>
      <x:c r="E117" s="11"/>
    </x:row>
    <x:row r="118" ht="7.349999904632568" customHeight="1">
      <x:c r="D118" s="10"/>
      <x:c r="E118" s="11"/>
    </x:row>
    <x:row r="119" ht="7.349999904632568" customHeight="1">
      <x:c r="D119" s="10"/>
      <x:c r="E119" s="11"/>
    </x:row>
    <x:row r="120" ht="7.349999904632568" customHeight="1">
      <x:c r="D120" s="10"/>
      <x:c r="E120" s="11"/>
    </x:row>
    <x:row r="121" ht="7.349999904632568" customHeight="1">
      <x:c r="D121" s="10"/>
      <x:c r="E121" s="11"/>
    </x:row>
    <x:row r="122" ht="7.349999904632568" customHeight="1">
      <x:c r="D122" s="10"/>
      <x:c r="E122" s="11"/>
    </x:row>
    <x:row r="123" ht="7.349999904632568" customHeight="1">
      <x:c r="D123" s="10"/>
      <x:c r="E123" s="11"/>
    </x:row>
    <x:row r="124" ht="7.349999904632568" customHeight="1">
      <x:c r="D124" s="10"/>
      <x:c r="E124" s="11"/>
    </x:row>
    <x:row r="125" ht="7.349999904632568" customHeight="1">
      <x:c r="D125" s="10"/>
      <x:c r="E125" s="11"/>
    </x:row>
    <x:row r="126" ht="7.349999904632568" customHeight="1">
      <x:c r="D126" s="10"/>
      <x:c r="E126" s="11"/>
    </x:row>
    <x:row r="127" ht="7.349999904632568" customHeight="1">
      <x:c r="D127" s="10"/>
      <x:c r="E127" s="11"/>
    </x:row>
    <x:row r="128" ht="7.349999904632568" customHeight="1">
      <x:c r="D128" s="10"/>
      <x:c r="E128" s="11"/>
    </x:row>
    <x:row r="129" ht="7.349999904632568" customHeight="1">
      <x:c r="D129" s="10"/>
      <x:c r="E129" s="11"/>
    </x:row>
    <x:row r="130" ht="7.349999904632568" customHeight="1">
      <x:c r="D130" s="10"/>
      <x:c r="E130" s="11"/>
    </x:row>
    <x:row r="131" ht="7.349999904632568" customHeight="1">
      <x:c r="D131" s="10"/>
      <x:c r="E131" s="11"/>
    </x:row>
    <x:row r="132" ht="7.349999904632568" customHeight="1">
      <x:c r="D132" s="10"/>
      <x:c r="E132" s="11"/>
    </x:row>
    <x:row r="133" ht="7.349999904632568" customHeight="1">
      <x:c r="D133" s="10"/>
      <x:c r="E133" s="11"/>
    </x:row>
    <x:row r="134" ht="7.349999904632568" customHeight="1">
      <x:c r="D134" s="10"/>
      <x:c r="E134" s="11"/>
    </x:row>
    <x:row r="135" ht="7.349999904632568" customHeight="1">
      <x:c r="D135" s="10"/>
      <x:c r="E135" s="11"/>
    </x:row>
    <x:row r="136" ht="7.349999904632568" customHeight="1">
      <x:c r="D136" s="10"/>
      <x:c r="E136" s="11"/>
    </x:row>
    <x:row r="137" ht="7.349999904632568" customHeight="1">
      <x:c r="D137" s="10"/>
      <x:c r="E137" s="11"/>
    </x:row>
    <x:row r="138" ht="7.349999904632568" customHeight="1">
      <x:c r="D138" s="10"/>
      <x:c r="E138" s="11"/>
    </x:row>
    <x:row r="139" ht="7.349999904632568" customHeight="1">
      <x:c r="D139" s="10"/>
      <x:c r="E139" s="11"/>
    </x:row>
    <x:row r="140" ht="7.349999904632568" customHeight="1">
      <x:c r="D140" s="10"/>
      <x:c r="E140" s="11"/>
    </x:row>
    <x:row r="141" ht="7.349999904632568" customHeight="1">
      <x:c r="D141" s="10"/>
      <x:c r="E141" s="11"/>
    </x:row>
    <x:row r="142" ht="7.349999904632568" customHeight="1">
      <x:c r="D142" s="10"/>
      <x:c r="E142" s="11"/>
    </x:row>
    <x:row r="143" ht="7.349999904632568" customHeight="1">
      <x:c r="D143" s="10"/>
      <x:c r="E143" s="11"/>
    </x:row>
    <x:row r="144" ht="7.349999904632568" customHeight="1">
      <x:c r="D144" s="10"/>
      <x:c r="E144" s="11"/>
    </x:row>
    <x:row r="145" ht="7.349999904632568" customHeight="1">
      <x:c r="D145" s="10"/>
      <x:c r="E145" s="11"/>
    </x:row>
    <x:row r="146" ht="7.349999904632568" customHeight="1">
      <x:c r="D146" s="10"/>
      <x:c r="E146" s="11"/>
    </x:row>
    <x:row r="147" ht="7.349999904632568" customHeight="1">
      <x:c r="D147" s="10"/>
      <x:c r="E147" s="11"/>
    </x:row>
    <x:row r="148" ht="7.349999904632568" customHeight="1">
      <x:c r="D148" s="10"/>
      <x:c r="E148" s="11"/>
    </x:row>
    <x:row r="149" ht="7.349999904632568" customHeight="1">
      <x:c r="D149" s="10"/>
      <x:c r="E149" s="11"/>
    </x:row>
    <x:row r="150" ht="7.349999904632568" customHeight="1">
      <x:c r="D150" s="10"/>
      <x:c r="E150" s="11"/>
    </x:row>
    <x:row r="151" ht="7.349999904632568" customHeight="1">
      <x:c r="D151" s="10"/>
      <x:c r="E151" s="11"/>
    </x:row>
    <x:row r="152" ht="7.349999904632568" customHeight="1">
      <x:c r="D152" s="10"/>
      <x:c r="E152" s="11"/>
    </x:row>
    <x:row r="153" ht="7.349999904632568" customHeight="1">
      <x:c r="D153" s="10"/>
      <x:c r="E153" s="11"/>
    </x:row>
    <x:row r="154" ht="7.349999904632568" customHeight="1">
      <x:c r="D154" s="10"/>
      <x:c r="E154" s="11"/>
    </x:row>
    <x:row r="155" ht="7.349999904632568" customHeight="1">
      <x:c r="D155" s="10"/>
      <x:c r="E155" s="11"/>
    </x:row>
    <x:row r="156" ht="7.349999904632568" customHeight="1">
      <x:c r="D156" s="10"/>
      <x:c r="E156" s="11"/>
    </x:row>
    <x:row r="157" ht="7.349999904632568" customHeight="1">
      <x:c r="D157" s="10"/>
      <x:c r="E157" s="11"/>
    </x:row>
    <x:row r="158" ht="7.349999904632568" customHeight="1">
      <x:c r="D158" s="10"/>
      <x:c r="E158" s="11"/>
    </x:row>
    <x:row r="159" ht="7.349999904632568" customHeight="1">
      <x:c r="D159" s="10"/>
      <x:c r="E159" s="11"/>
    </x:row>
    <x:row r="160" ht="7.349999904632568" customHeight="1">
      <x:c r="D160" s="10"/>
      <x:c r="E160" s="11"/>
    </x:row>
    <x:row r="161" ht="7.349999904632568" customHeight="1">
      <x:c r="D161" s="10"/>
      <x:c r="E161" s="11"/>
    </x:row>
    <x:row r="162" ht="7.349999904632568" customHeight="1">
      <x:c r="D162" s="10"/>
      <x:c r="E162" s="11"/>
    </x:row>
    <x:row r="163" ht="7.349999904632568" customHeight="1">
      <x:c r="D163" s="10"/>
      <x:c r="E163" s="11"/>
    </x:row>
    <x:row r="164" ht="7.349999904632568" customHeight="1">
      <x:c r="D164" s="10"/>
      <x:c r="E164" s="11"/>
    </x:row>
    <x:row r="165" ht="7.349999904632568" customHeight="1">
      <x:c r="D165" s="10"/>
      <x:c r="E165" s="11"/>
    </x:row>
    <x:row r="166" ht="7.349999904632568" customHeight="1">
      <x:c r="D166" s="10"/>
      <x:c r="E166" s="11"/>
    </x:row>
    <x:row r="167" ht="7.349999904632568" customHeight="1">
      <x:c r="D167" s="10"/>
      <x:c r="E167" s="11"/>
    </x:row>
    <x:row r="168" ht="7.349999904632568" customHeight="1">
      <x:c r="D168" s="10"/>
      <x:c r="E168" s="11"/>
    </x:row>
    <x:row r="169" ht="7.349999904632568" customHeight="1">
      <x:c r="D169" s="10"/>
      <x:c r="E169" s="11"/>
    </x:row>
    <x:row r="170" ht="7.349999904632568" customHeight="1">
      <x:c r="D170" s="10"/>
      <x:c r="E170" s="11"/>
    </x:row>
    <x:row r="171" ht="7.349999904632568" customHeight="1">
      <x:c r="D171" s="10"/>
      <x:c r="E171" s="11"/>
    </x:row>
    <x:row r="172" ht="7.349999904632568" customHeight="1">
      <x:c r="D172" s="10"/>
      <x:c r="E172" s="11"/>
    </x:row>
    <x:row r="173" ht="7.349999904632568" customHeight="1">
      <x:c r="D173" s="10"/>
      <x:c r="E173" s="11"/>
    </x:row>
    <x:row r="174" ht="7.349999904632568" customHeight="1">
      <x:c r="D174" s="10"/>
      <x:c r="E174" s="11"/>
    </x:row>
    <x:row r="175" ht="7.349999904632568" customHeight="1">
      <x:c r="D175" s="10"/>
      <x:c r="E175" s="11"/>
    </x:row>
    <x:row r="176" ht="7.349999904632568" customHeight="1">
      <x:c r="D176" s="10"/>
      <x:c r="E176" s="11"/>
    </x:row>
    <x:row r="177" ht="7.349999904632568" customHeight="1">
      <x:c r="D177" s="10"/>
      <x:c r="E177" s="11"/>
    </x:row>
    <x:row r="178" ht="7.349999904632568" customHeight="1">
      <x:c r="D178" s="10"/>
      <x:c r="E178" s="11"/>
    </x:row>
    <x:row r="179" ht="7.349999904632568" customHeight="1">
      <x:c r="D179" s="10"/>
      <x:c r="E179" s="11"/>
    </x:row>
    <x:row r="180" ht="7.349999904632568" customHeight="1">
      <x:c r="D180" s="10"/>
      <x:c r="E180" s="11"/>
    </x:row>
    <x:row r="181" ht="7.349999904632568" customHeight="1">
      <x:c r="D181" s="10"/>
      <x:c r="E181" s="11"/>
    </x:row>
    <x:row r="182" ht="7.349999904632568" customHeight="1">
      <x:c r="D182" s="10"/>
      <x:c r="E182" s="11"/>
    </x:row>
    <x:row r="183" ht="7.349999904632568" customHeight="1">
      <x:c r="D183" s="10"/>
      <x:c r="E183" s="11"/>
    </x:row>
    <x:row r="184" ht="7.349999904632568" customHeight="1">
      <x:c r="D184" s="10"/>
      <x:c r="E184" s="11"/>
    </x:row>
    <x:row r="185" ht="7.349999904632568" customHeight="1">
      <x:c r="D185" s="10"/>
      <x:c r="E185" s="11"/>
    </x:row>
    <x:row r="186" ht="7.349999904632568" customHeight="1">
      <x:c r="D186" s="10"/>
      <x:c r="E186" s="11"/>
    </x:row>
    <x:row r="187" ht="7.349999904632568" customHeight="1">
      <x:c r="D187" s="10"/>
      <x:c r="E187" s="11"/>
    </x:row>
    <x:row r="188" ht="7.349999904632568" customHeight="1">
      <x:c r="D188" s="10"/>
      <x:c r="E188" s="11"/>
    </x:row>
    <x:row r="189" ht="7.349999904632568" customHeight="1">
      <x:c r="D189" s="10"/>
      <x:c r="E189" s="11"/>
    </x:row>
    <x:row r="190" ht="7.349999904632568" customHeight="1">
      <x:c r="D190" s="10"/>
      <x:c r="E190" s="11"/>
    </x:row>
    <x:row r="191" ht="7.349999904632568" customHeight="1">
      <x:c r="D191" s="10"/>
      <x:c r="E191" s="11"/>
    </x:row>
    <x:row r="192" ht="7.349999904632568" customHeight="1">
      <x:c r="D192" s="10"/>
      <x:c r="E192" s="11"/>
    </x:row>
    <x:row r="193" ht="7.349999904632568" customHeight="1">
      <x:c r="D193" s="10"/>
      <x:c r="E193" s="11"/>
    </x:row>
    <x:row r="194" ht="7.349999904632568" customHeight="1">
      <x:c r="D194" s="10"/>
      <x:c r="E194" s="11"/>
    </x:row>
    <x:row r="195" ht="7.349999904632568" customHeight="1">
      <x:c r="D195" s="10"/>
      <x:c r="E195" s="11"/>
    </x:row>
    <x:row r="196" ht="7.349999904632568" customHeight="1">
      <x:c r="D196" s="10"/>
      <x:c r="E196" s="11"/>
    </x:row>
    <x:row r="197" ht="7.349999904632568" customHeight="1">
      <x:c r="D197" s="10"/>
      <x:c r="E197" s="11"/>
    </x:row>
    <x:row r="198" ht="7.349999904632568" customHeight="1">
      <x:c r="D198" s="10"/>
      <x:c r="E198" s="11"/>
    </x:row>
    <x:row r="199" ht="7.349999904632568" customHeight="1">
      <x:c r="D199" s="10"/>
      <x:c r="E199" s="11"/>
    </x:row>
    <x:row r="200" ht="7.349999904632568" customHeight="1">
      <x:c r="D200" s="10"/>
      <x:c r="E200" s="11"/>
    </x:row>
    <x:row r="201" ht="7.349999904632568" customHeight="1">
      <x:c r="D201" s="10"/>
      <x:c r="E201" s="11"/>
    </x:row>
    <x:row r="202" ht="7.349999904632568" customHeight="1">
      <x:c r="D202" s="10"/>
      <x:c r="E202" s="11"/>
    </x:row>
    <x:row r="203" ht="7.349999904632568" customHeight="1">
      <x:c r="D203" s="10"/>
      <x:c r="E203" s="11"/>
    </x:row>
    <x:row r="204" ht="7.349999904632568" customHeight="1">
      <x:c r="D204" s="10"/>
      <x:c r="E204" s="11"/>
    </x:row>
    <x:row r="205" ht="7.349999904632568" customHeight="1">
      <x:c r="D205" s="10"/>
      <x:c r="E205" s="11"/>
    </x:row>
    <x:row r="206" ht="7.349999904632568" customHeight="1">
      <x:c r="D206" s="10"/>
      <x:c r="E206" s="11"/>
    </x:row>
    <x:row r="207" ht="7.349999904632568" customHeight="1">
      <x:c r="D207" s="10"/>
      <x:c r="E207" s="11"/>
    </x:row>
    <x:row r="208" ht="7.349999904632568" customHeight="1">
      <x:c r="D208" s="10"/>
      <x:c r="E208" s="11"/>
    </x:row>
    <x:row r="209" ht="7.349999904632568" customHeight="1">
      <x:c r="D209" s="10"/>
      <x:c r="E209" s="11"/>
    </x:row>
    <x:row r="210" ht="7.349999904632568" customHeight="1">
      <x:c r="D210" s="10"/>
      <x:c r="E210" s="11"/>
    </x:row>
    <x:row r="211" ht="7.349999904632568" customHeight="1">
      <x:c r="D211" s="10"/>
      <x:c r="E211" s="11"/>
    </x:row>
    <x:row r="212" ht="7.349999904632568" customHeight="1">
      <x:c r="D212" s="10"/>
      <x:c r="E212" s="11"/>
    </x:row>
    <x:row r="213" ht="7.349999904632568" customHeight="1">
      <x:c r="D213" s="10"/>
      <x:c r="E213" s="11"/>
    </x:row>
    <x:row r="214" ht="7.349999904632568" customHeight="1">
      <x:c r="D214" s="10"/>
      <x:c r="E214" s="11"/>
    </x:row>
    <x:row r="215" ht="7.349999904632568" customHeight="1">
      <x:c r="D215" s="10"/>
      <x:c r="E215" s="11"/>
    </x:row>
    <x:row r="216" ht="7.349999904632568" customHeight="1">
      <x:c r="D216" s="10"/>
      <x:c r="E216" s="11"/>
    </x:row>
    <x:row r="217" ht="7.349999904632568" customHeight="1">
      <x:c r="D217" s="10"/>
      <x:c r="E217" s="11"/>
    </x:row>
    <x:row r="218" ht="7.349999904632568" customHeight="1">
      <x:c r="D218" s="10"/>
      <x:c r="E218" s="11"/>
    </x:row>
    <x:row r="219" ht="7.349999904632568" customHeight="1">
      <x:c r="D219" s="10"/>
      <x:c r="E219" s="11"/>
    </x:row>
    <x:row r="220" ht="7.349999904632568" customHeight="1">
      <x:c r="D220" s="10"/>
      <x:c r="E220" s="11"/>
    </x:row>
    <x:row r="221" ht="7.349999904632568" customHeight="1">
      <x:c r="D221" s="10"/>
      <x:c r="E221" s="11"/>
    </x:row>
    <x:row r="222" ht="7.349999904632568" customHeight="1">
      <x:c r="D222" s="10"/>
      <x:c r="E222" s="11"/>
    </x:row>
    <x:row r="223" ht="7.349999904632568" customHeight="1">
      <x:c r="D223" s="10"/>
      <x:c r="E223" s="11"/>
    </x:row>
    <x:row r="224" ht="7.349999904632568" customHeight="1">
      <x:c r="D224" s="10"/>
      <x:c r="E224" s="11"/>
    </x:row>
    <x:row r="225" ht="7.349999904632568" customHeight="1">
      <x:c r="D225" s="10"/>
      <x:c r="E225" s="11"/>
    </x:row>
    <x:row r="226" ht="7.349999904632568" customHeight="1">
      <x:c r="D226" s="10"/>
      <x:c r="E226" s="11"/>
    </x:row>
    <x:row r="227" ht="7.349999904632568" customHeight="1">
      <x:c r="D227" s="10"/>
      <x:c r="E227" s="11"/>
    </x:row>
    <x:row r="228" ht="7.349999904632568" customHeight="1">
      <x:c r="D228" s="10"/>
      <x:c r="E228" s="11"/>
    </x:row>
    <x:row r="229" ht="7.349999904632568" customHeight="1">
      <x:c r="D229" s="10"/>
      <x:c r="E229" s="11"/>
    </x:row>
    <x:row r="230" ht="7.349999904632568" customHeight="1">
      <x:c r="D230" s="10"/>
      <x:c r="E230" s="11"/>
    </x:row>
    <x:row r="231" ht="7.349999904632568" customHeight="1">
      <x:c r="D231" s="10"/>
      <x:c r="E231" s="11"/>
    </x:row>
    <x:row r="232" ht="7.349999904632568" customHeight="1">
      <x:c r="D232" s="10"/>
      <x:c r="E232" s="11"/>
    </x:row>
    <x:row r="233" ht="7.349999904632568" customHeight="1">
      <x:c r="D233" s="10"/>
      <x:c r="E233" s="11"/>
    </x:row>
    <x:row r="234" ht="7.349999904632568" customHeight="1">
      <x:c r="D234" s="10"/>
      <x:c r="E234" s="11"/>
    </x:row>
    <x:row r="235" ht="7.349999904632568" customHeight="1">
      <x:c r="D235" s="10"/>
      <x:c r="E235" s="11"/>
    </x:row>
    <x:row r="236" ht="7.349999904632568" customHeight="1">
      <x:c r="D236" s="10"/>
      <x:c r="E236" s="11"/>
    </x:row>
    <x:row r="237" ht="7.349999904632568" customHeight="1">
      <x:c r="D237" s="10"/>
      <x:c r="E237" s="11"/>
    </x:row>
    <x:row r="238" ht="7.349999904632568" customHeight="1">
      <x:c r="D238" s="10"/>
      <x:c r="E238" s="11"/>
    </x:row>
    <x:row r="239" ht="7.349999904632568" customHeight="1">
      <x:c r="D239" s="10"/>
      <x:c r="E239" s="11"/>
    </x:row>
    <x:row r="240" ht="7.349999904632568" customHeight="1">
      <x:c r="D240" s="10"/>
      <x:c r="E240" s="11"/>
    </x:row>
    <x:row r="241" ht="7.349999904632568" customHeight="1">
      <x:c r="D241" s="10"/>
      <x:c r="E241" s="11"/>
    </x:row>
    <x:row r="242" ht="7.349999904632568" customHeight="1">
      <x:c r="D242" s="10"/>
      <x:c r="E242" s="11"/>
    </x:row>
    <x:row r="243" ht="7.349999904632568" customHeight="1">
      <x:c r="D243" s="10"/>
      <x:c r="E243" s="11"/>
    </x:row>
    <x:row r="244" ht="7.349999904632568" customHeight="1">
      <x:c r="D244" s="10"/>
      <x:c r="E244" s="11"/>
    </x:row>
    <x:row r="245" ht="7.349999904632568" customHeight="1">
      <x:c r="D245" s="10"/>
      <x:c r="E245" s="11"/>
    </x:row>
    <x:row r="246" ht="7.349999904632568" customHeight="1">
      <x:c r="D246" s="10"/>
      <x:c r="E246" s="11"/>
    </x:row>
    <x:row r="247" ht="7.349999904632568" customHeight="1">
      <x:c r="D247" s="10"/>
      <x:c r="E247" s="11"/>
    </x:row>
    <x:row r="248" ht="7.349999904632568" customHeight="1">
      <x:c r="D248" s="10"/>
      <x:c r="E248" s="11"/>
    </x:row>
    <x:row r="249" ht="7.349999904632568" customHeight="1">
      <x:c r="D249" s="10"/>
      <x:c r="E249" s="11"/>
    </x:row>
    <x:row r="250" ht="7.349999904632568" customHeight="1">
      <x:c r="D250" s="10"/>
      <x:c r="E250" s="11"/>
    </x:row>
    <x:row r="251" ht="7.349999904632568" customHeight="1">
      <x:c r="D251" s="10"/>
      <x:c r="E251" s="11"/>
    </x:row>
    <x:row r="252" ht="7.349999904632568" customHeight="1">
      <x:c r="D252" s="10"/>
      <x:c r="E252" s="11"/>
    </x:row>
    <x:row r="253" ht="7.349999904632568" customHeight="1">
      <x:c r="D253" s="10"/>
      <x:c r="E253" s="11"/>
    </x:row>
    <x:row r="254" ht="7.349999904632568" customHeight="1">
      <x:c r="D254" s="10"/>
      <x:c r="E254" s="11"/>
    </x:row>
    <x:row r="255" ht="7.349999904632568" customHeight="1">
      <x:c r="D255" s="10"/>
      <x:c r="E255" s="11"/>
    </x:row>
    <x:row r="256" ht="7.349999904632568" customHeight="1">
      <x:c r="D256" s="10"/>
      <x:c r="E256" s="11"/>
    </x:row>
    <x:row r="257" ht="7.349999904632568" customHeight="1">
      <x:c r="D257" s="10"/>
      <x:c r="E257" s="11"/>
    </x:row>
    <x:row r="258" ht="7.349999904632568" customHeight="1">
      <x:c r="D258" s="10"/>
      <x:c r="E258" s="11"/>
    </x:row>
    <x:row r="259" ht="7.349999904632568" customHeight="1">
      <x:c r="D259" s="10"/>
      <x:c r="E259" s="11"/>
    </x:row>
    <x:row r="260" ht="7.349999904632568" customHeight="1">
      <x:c r="D260" s="10"/>
      <x:c r="E260" s="11"/>
    </x:row>
    <x:row r="261" ht="8.100000381469727" customHeight="1"/>
    <x:row r="262" ht="8.100000381469727" customHeight="1"/>
    <x:row r="263" ht="8.100000381469727" customHeight="1"/>
    <x:row r="264" ht="8.100000381469727" customHeight="1"/>
    <x:row r="265" ht="8.100000381469727" customHeight="1"/>
    <x:row r="266" ht="8.100000381469727" customHeight="1"/>
    <x:row r="267" ht="8.100000381469727" customHeight="1"/>
    <x:row r="268" ht="8.100000381469727" customHeight="1"/>
    <x:row r="269" ht="8.100000381469727" customHeight="1"/>
    <x:row r="270" ht="8.100000381469727" customHeight="1"/>
    <x:row r="271" ht="8.100000381469727" customHeight="1"/>
    <x:row r="272" ht="8.100000381469727" customHeight="1"/>
    <x:row r="273" ht="8.100000381469727" customHeight="1"/>
    <x:row r="274" ht="8.100000381469727" customHeight="1"/>
    <x:row r="275" ht="8.100000381469727" customHeight="1"/>
    <x:row r="276" ht="8.100000381469727" customHeight="1"/>
    <x:row r="277" ht="8.100000381469727" customHeight="1"/>
    <x:row r="278" ht="8.100000381469727" customHeight="1"/>
    <x:row r="279" ht="8.100000381469727" customHeight="1"/>
    <x:row r="280" ht="8.100000381469727" customHeight="1"/>
    <x:row r="281" ht="8.100000381469727" customHeight="1"/>
    <x:row r="282" ht="8.100000381469727" customHeight="1"/>
    <x:row r="283" ht="8.100000381469727" customHeight="1"/>
    <x:row r="284" ht="8.100000381469727" customHeight="1"/>
    <x:row r="285" ht="8.100000381469727" customHeight="1"/>
    <x:row r="286" ht="8.100000381469727" customHeight="1"/>
    <x:row r="287" ht="8.100000381469727" customHeight="1"/>
    <x:row r="288" ht="8.100000381469727" customHeight="1"/>
    <x:row r="289" ht="8.100000381469727" customHeight="1"/>
    <x:row r="290" ht="8.100000381469727" customHeight="1"/>
    <x:row r="291" ht="8.100000381469727" customHeight="1"/>
    <x:row r="292" ht="8.100000381469727" customHeight="1"/>
    <x:row r="293" ht="8.100000381469727" customHeight="1"/>
    <x:row r="294" ht="8.100000381469727" customHeight="1"/>
    <x:row r="295" ht="8.100000381469727" customHeight="1"/>
    <x:row r="296" ht="8.100000381469727" customHeight="1"/>
    <x:row r="297" ht="8.100000381469727" customHeight="1"/>
    <x:row r="298" ht="8.100000381469727" customHeight="1"/>
    <x:row r="299" ht="8.100000381469727" customHeight="1"/>
    <x:row r="300" ht="8.100000381469727" customHeight="1"/>
    <x:row r="301" ht="8.100000381469727" customHeight="1"/>
    <x:row r="302" ht="8.100000381469727" customHeight="1"/>
    <x:row r="303" ht="8.100000381469727" customHeight="1"/>
    <x:row r="304" ht="8.100000381469727" customHeight="1"/>
    <x:row r="305" ht="8.100000381469727" customHeight="1"/>
    <x:row r="306" ht="8.100000381469727" customHeight="1"/>
    <x:row r="307" ht="8.100000381469727" customHeight="1"/>
    <x:row r="308" ht="8.100000381469727" customHeight="1"/>
    <x:row r="309" ht="8.100000381469727" customHeight="1"/>
    <x:row r="310" ht="8.100000381469727" customHeight="1"/>
    <x:row r="311" ht="8.100000381469727" customHeight="1"/>
    <x:row r="312" ht="8.100000381469727" customHeight="1"/>
    <x:row r="313" ht="8.100000381469727" customHeight="1"/>
    <x:row r="314" ht="8.100000381469727" customHeight="1"/>
    <x:row r="315" ht="8.100000381469727" customHeight="1"/>
    <x:row r="316" ht="8.100000381469727" customHeight="1"/>
    <x:row r="317" ht="8.100000381469727" customHeight="1"/>
    <x:row r="318" ht="8.100000381469727" customHeight="1"/>
    <x:row r="319" ht="8.100000381469727" customHeight="1"/>
    <x:row r="320" ht="8.100000381469727" customHeight="1"/>
    <x:row r="321" ht="8.100000381469727" customHeight="1"/>
    <x:row r="322" ht="8.100000381469727" customHeight="1"/>
    <x:row r="323" ht="8.100000381469727" customHeight="1"/>
    <x:row r="324" ht="8.100000381469727" customHeight="1"/>
    <x:row r="325" ht="8.100000381469727" customHeight="1"/>
    <x:row r="326" ht="8.100000381469727" customHeight="1"/>
    <x:row r="327" ht="8.100000381469727" customHeight="1"/>
    <x:row r="328" ht="8.100000381469727" customHeight="1"/>
    <x:row r="329" ht="8.100000381469727" customHeight="1"/>
    <x:row r="330" ht="8.100000381469727" customHeight="1"/>
    <x:row r="331" ht="8.100000381469727" customHeight="1"/>
    <x:row r="332" ht="8.100000381469727" customHeight="1"/>
    <x:row r="333" ht="8.100000381469727" customHeight="1"/>
    <x:row r="334" ht="8.100000381469727" customHeight="1"/>
    <x:row r="335" ht="8.100000381469727" customHeight="1"/>
    <x:row r="336" ht="8.100000381469727" customHeight="1"/>
    <x:row r="337" ht="8.100000381469727" customHeight="1"/>
    <x:row r="338" ht="8.100000381469727" customHeight="1"/>
    <x:row r="339" ht="8.100000381469727" customHeight="1"/>
    <x:row r="340" ht="8.100000381469727" customHeight="1"/>
    <x:row r="341" ht="8.100000381469727" customHeight="1"/>
    <x:row r="342" ht="8.100000381469727" customHeight="1"/>
    <x:row r="343" ht="8.100000381469727" customHeight="1"/>
    <x:row r="344" ht="8.100000381469727" customHeight="1"/>
    <x:row r="345" ht="8.100000381469727" customHeight="1"/>
    <x:row r="346" ht="8.100000381469727" customHeight="1"/>
    <x:row r="347" ht="8.100000381469727" customHeight="1"/>
    <x:row r="348" ht="8.100000381469727" customHeight="1"/>
    <x:row r="349" ht="8.100000381469727" customHeight="1"/>
    <x:row r="350" ht="8.100000381469727" customHeight="1"/>
    <x:row r="351" ht="8.100000381469727" customHeight="1"/>
    <x:row r="352" ht="8.100000381469727" customHeight="1"/>
    <x:row r="353" ht="8.100000381469727" customHeight="1"/>
    <x:row r="354" ht="8.100000381469727" customHeight="1"/>
    <x:row r="355" ht="8.100000381469727" customHeight="1"/>
    <x:row r="356" ht="8.100000381469727" customHeight="1"/>
    <x:row r="357" ht="8.100000381469727" customHeight="1"/>
    <x:row r="358" ht="8.100000381469727" customHeight="1"/>
    <x:row r="359" ht="8.100000381469727" customHeight="1"/>
    <x:row r="360" ht="8.100000381469727" customHeight="1"/>
    <x:row r="361" ht="8.100000381469727" customHeight="1"/>
    <x:row r="362" ht="8.100000381469727" customHeight="1"/>
    <x:row r="363" ht="8.100000381469727" customHeight="1"/>
    <x:row r="364" ht="8.100000381469727" customHeight="1"/>
    <x:row r="365" ht="8.100000381469727" customHeight="1"/>
    <x:row r="366" ht="8.100000381469727" customHeight="1"/>
    <x:row r="367" ht="8.100000381469727" customHeight="1"/>
    <x:row r="368" ht="8.100000381469727" customHeight="1"/>
    <x:row r="369" ht="8.100000381469727" customHeight="1"/>
    <x:row r="370" ht="8.100000381469727" customHeight="1"/>
    <x:row r="371" ht="8.100000381469727" customHeight="1"/>
    <x:row r="372" ht="8.100000381469727" customHeight="1"/>
    <x:row r="373" ht="8.100000381469727" customHeight="1"/>
    <x:row r="374" ht="8.100000381469727" customHeight="1"/>
    <x:row r="375" ht="8.100000381469727" customHeight="1"/>
    <x:row r="376" ht="8.100000381469727" customHeight="1"/>
    <x:row r="377" ht="8.100000381469727" customHeight="1"/>
    <x:row r="378" ht="8.100000381469727" customHeight="1"/>
    <x:row r="379" ht="8.100000381469727" customHeight="1"/>
    <x:row r="380" ht="8.100000381469727" customHeight="1"/>
    <x:row r="381" ht="8.100000381469727" customHeight="1"/>
    <x:row r="382" ht="8.100000381469727" customHeight="1"/>
    <x:row r="383" ht="8.100000381469727" customHeight="1"/>
    <x:row r="384" ht="8.100000381469727" customHeight="1"/>
    <x:row r="385" ht="8.100000381469727" customHeight="1"/>
    <x:row r="386" ht="8.100000381469727" customHeight="1"/>
    <x:row r="387" ht="8.100000381469727" customHeight="1"/>
    <x:row r="388" ht="8.100000381469727" customHeight="1"/>
    <x:row r="389" ht="8.100000381469727" customHeight="1"/>
    <x:row r="390" ht="8.100000381469727" customHeight="1"/>
    <x:row r="391" ht="8.100000381469727" customHeight="1"/>
    <x:row r="392" ht="8.100000381469727" customHeight="1"/>
    <x:row r="393" ht="8.100000381469727" customHeight="1"/>
    <x:row r="394" ht="8.100000381469727" customHeight="1"/>
    <x:row r="395" ht="8.100000381469727" customHeight="1"/>
    <x:row r="396" ht="8.100000381469727" customHeight="1"/>
    <x:row r="397" ht="8.100000381469727" customHeight="1"/>
    <x:row r="398" ht="8.100000381469727" customHeight="1"/>
    <x:row r="399" ht="8.100000381469727" customHeight="1"/>
    <x:row r="400" ht="8.100000381469727" customHeight="1"/>
    <x:row r="401" ht="8.100000381469727" customHeight="1"/>
    <x:row r="402" ht="8.100000381469727" customHeight="1"/>
    <x:row r="403" ht="8.100000381469727" customHeight="1"/>
    <x:row r="404" ht="8.100000381469727" customHeight="1"/>
    <x:row r="405" ht="8.100000381469727" customHeight="1"/>
    <x:row r="406" ht="8.100000381469727" customHeight="1"/>
    <x:row r="407" ht="8.100000381469727" customHeight="1"/>
    <x:row r="408" ht="8.100000381469727" customHeight="1"/>
    <x:row r="409" ht="8.100000381469727" customHeight="1"/>
    <x:row r="410" ht="8.100000381469727" customHeight="1"/>
    <x:row r="411" ht="8.100000381469727" customHeight="1"/>
    <x:row r="412" ht="8.100000381469727" customHeight="1"/>
    <x:row r="413" ht="8.100000381469727" customHeight="1"/>
    <x:row r="414" ht="8.100000381469727" customHeight="1"/>
    <x:row r="415" ht="8.100000381469727" customHeight="1"/>
    <x:row r="416" ht="8.100000381469727" customHeight="1"/>
    <x:row r="417" ht="8.100000381469727" customHeight="1"/>
    <x:row r="418" ht="8.100000381469727" customHeight="1"/>
    <x:row r="419" ht="8.100000381469727" customHeight="1"/>
    <x:row r="420" ht="8.100000381469727" customHeight="1"/>
    <x:row r="421" ht="8.100000381469727" customHeight="1"/>
    <x:row r="422" ht="8.100000381469727" customHeight="1"/>
    <x:row r="423" ht="8.100000381469727" customHeight="1"/>
    <x:row r="424" ht="8.100000381469727" customHeight="1"/>
    <x:row r="425" ht="8.100000381469727" customHeight="1"/>
    <x:row r="426" ht="8.100000381469727" customHeight="1"/>
    <x:row r="427" ht="8.100000381469727" customHeight="1"/>
    <x:row r="428" ht="8.100000381469727" customHeight="1"/>
    <x:row r="429" ht="8.100000381469727" customHeight="1"/>
    <x:row r="430" ht="8.100000381469727" customHeight="1"/>
    <x:row r="431" ht="8.100000381469727" customHeight="1"/>
    <x:row r="432" ht="8.100000381469727" customHeight="1"/>
    <x:row r="433" ht="8.100000381469727" customHeight="1"/>
    <x:row r="434" ht="8.100000381469727" customHeight="1"/>
    <x:row r="435" ht="8.100000381469727" customHeight="1"/>
    <x:row r="436" ht="8.100000381469727" customHeight="1"/>
    <x:row r="437" ht="8.100000381469727" customHeight="1"/>
    <x:row r="438" ht="8.100000381469727" customHeight="1"/>
    <x:row r="439" ht="8.100000381469727" customHeight="1"/>
    <x:row r="440" ht="8.100000381469727" customHeight="1"/>
    <x:row r="441" ht="8.100000381469727" customHeight="1"/>
    <x:row r="442" ht="8.100000381469727" customHeight="1"/>
    <x:row r="443" ht="8.100000381469727" customHeight="1"/>
    <x:row r="444" ht="8.100000381469727" customHeight="1"/>
    <x:row r="445" ht="8.100000381469727" customHeight="1"/>
    <x:row r="446" ht="8.100000381469727" customHeight="1"/>
    <x:row r="447" ht="8.100000381469727" customHeight="1"/>
    <x:row r="448" ht="8.100000381469727" customHeight="1"/>
    <x:row r="449" ht="8.100000381469727" customHeight="1"/>
    <x:row r="450" ht="8.100000381469727" customHeight="1"/>
    <x:row r="451" ht="8.100000381469727" customHeight="1"/>
    <x:row r="452" ht="8.100000381469727" customHeight="1"/>
    <x:row r="453" ht="8.100000381469727" customHeight="1"/>
    <x:row r="454" ht="8.100000381469727" customHeight="1"/>
    <x:row r="455" ht="8.100000381469727" customHeight="1"/>
    <x:row r="456" ht="8.100000381469727" customHeight="1"/>
    <x:row r="457" ht="8.100000381469727" customHeight="1"/>
    <x:row r="458" ht="8.100000381469727" customHeight="1"/>
    <x:row r="459" ht="8.100000381469727" customHeight="1"/>
    <x:row r="460" ht="8.100000381469727" customHeight="1"/>
    <x:row r="461" ht="8.100000381469727" customHeight="1"/>
    <x:row r="462" ht="8.100000381469727" customHeight="1"/>
    <x:row r="463" ht="8.100000381469727" customHeight="1"/>
    <x:row r="464" ht="8.100000381469727" customHeight="1"/>
    <x:row r="465" ht="8.100000381469727" customHeight="1"/>
    <x:row r="466" ht="8.100000381469727" customHeight="1"/>
    <x:row r="467" ht="8.100000381469727" customHeight="1"/>
    <x:row r="468" ht="8.100000381469727" customHeight="1"/>
    <x:row r="469" ht="8.100000381469727" customHeight="1"/>
    <x:row r="470" ht="8.100000381469727" customHeight="1"/>
    <x:row r="471" ht="8.100000381469727" customHeight="1"/>
    <x:row r="472" ht="8.100000381469727" customHeight="1"/>
    <x:row r="473" ht="8.100000381469727" customHeight="1"/>
    <x:row r="474" ht="8.100000381469727" customHeight="1"/>
    <x:row r="475" ht="8.100000381469727" customHeight="1"/>
    <x:row r="476" ht="8.100000381469727" customHeight="1"/>
    <x:row r="477" ht="8.100000381469727" customHeight="1"/>
    <x:row r="478" ht="8.100000381469727" customHeight="1"/>
    <x:row r="479" ht="8.100000381469727" customHeight="1"/>
    <x:row r="480" ht="8.100000381469727" customHeight="1"/>
    <x:row r="481" ht="8.100000381469727" customHeight="1"/>
    <x:row r="482" ht="8.100000381469727" customHeight="1"/>
    <x:row r="483" ht="8.100000381469727" customHeight="1"/>
    <x:row r="484" ht="8.100000381469727" customHeight="1"/>
    <x:row r="485" ht="8.100000381469727" customHeight="1"/>
    <x:row r="486" ht="8.100000381469727" customHeight="1"/>
    <x:row r="487" ht="8.100000381469727" customHeight="1"/>
    <x:row r="488" ht="8.100000381469727" customHeight="1"/>
    <x:row r="489" ht="8.100000381469727" customHeight="1"/>
    <x:row r="490" ht="8.100000381469727" customHeight="1"/>
    <x:row r="491" ht="8.100000381469727" customHeight="1"/>
    <x:row r="492" ht="8.100000381469727" customHeight="1"/>
    <x:row r="493" ht="8.100000381469727" customHeight="1"/>
    <x:row r="494" ht="8.100000381469727" customHeight="1"/>
    <x:row r="495" ht="8.100000381469727" customHeight="1"/>
    <x:row r="496" ht="8.100000381469727" customHeight="1"/>
    <x:row r="497" ht="8.100000381469727" customHeight="1"/>
    <x:row r="498" ht="8.100000381469727" customHeight="1"/>
    <x:row r="499" ht="8.100000381469727" customHeight="1"/>
    <x:row r="500" ht="8.100000381469727" customHeight="1"/>
    <x:row r="501" ht="8.100000381469727" customHeight="1"/>
    <x:row r="502" ht="8.100000381469727" customHeight="1"/>
    <x:row r="503" ht="8.100000381469727" customHeight="1"/>
    <x:row r="504" ht="8.100000381469727" customHeight="1"/>
    <x:row r="505" ht="8.100000381469727" customHeight="1"/>
    <x:row r="506" ht="8.100000381469727" customHeight="1"/>
    <x:row r="507" ht="8.100000381469727" customHeight="1"/>
    <x:row r="508" ht="8.100000381469727" customHeight="1"/>
    <x:row r="509" ht="8.100000381469727" customHeight="1"/>
    <x:row r="510" ht="8.100000381469727" customHeight="1"/>
    <x:row r="511" ht="8.100000381469727" customHeight="1"/>
    <x:row r="512" ht="8.100000381469727" customHeight="1"/>
    <x:row r="513" ht="8.100000381469727" customHeight="1"/>
    <x:row r="514" ht="8.100000381469727" customHeight="1"/>
    <x:row r="515" ht="8.100000381469727" customHeight="1"/>
    <x:row r="516" ht="8.100000381469727" customHeight="1"/>
    <x:row r="517" ht="8.100000381469727" customHeight="1"/>
    <x:row r="518" ht="8.100000381469727" customHeight="1"/>
    <x:row r="519" ht="8.100000381469727" customHeight="1"/>
    <x:row r="520" ht="8.100000381469727" customHeight="1"/>
    <x:row r="521" ht="8.100000381469727" customHeight="1"/>
    <x:row r="522" ht="8.100000381469727" customHeight="1"/>
    <x:row r="523" ht="8.100000381469727" customHeight="1"/>
    <x:row r="524" ht="8.100000381469727" customHeight="1"/>
    <x:row r="525" ht="8.100000381469727" customHeight="1"/>
    <x:row r="526" ht="8.100000381469727" customHeight="1"/>
    <x:row r="527" ht="8.100000381469727" customHeight="1"/>
    <x:row r="528" ht="8.100000381469727" customHeight="1"/>
    <x:row r="529" ht="8.100000381469727" customHeight="1"/>
    <x:row r="530" ht="8.100000381469727" customHeight="1"/>
    <x:row r="531" ht="8.100000381469727" customHeight="1"/>
    <x:row r="532" ht="8.100000381469727" customHeight="1"/>
    <x:row r="533" ht="8.100000381469727" customHeight="1"/>
    <x:row r="534" ht="8.100000381469727" customHeight="1"/>
    <x:row r="535" ht="8.100000381469727" customHeight="1"/>
    <x:row r="536" ht="8.100000381469727" customHeight="1"/>
    <x:row r="537" ht="8.100000381469727" customHeight="1"/>
    <x:row r="538" ht="8.100000381469727" customHeight="1"/>
    <x:row r="539" ht="8.100000381469727" customHeight="1"/>
    <x:row r="540" ht="8.100000381469727" customHeight="1"/>
    <x:row r="541" ht="8.100000381469727" customHeight="1"/>
    <x:row r="542" ht="8.100000381469727" customHeight="1"/>
    <x:row r="543" ht="8.100000381469727" customHeight="1"/>
    <x:row r="544" ht="8.100000381469727" customHeight="1"/>
    <x:row r="545" ht="8.100000381469727" customHeight="1"/>
    <x:row r="546" ht="8.100000381469727" customHeight="1"/>
    <x:row r="547" ht="8.100000381469727" customHeight="1"/>
    <x:row r="548" ht="8.100000381469727" customHeight="1"/>
    <x:row r="549" ht="8.100000381469727" customHeight="1"/>
    <x:row r="550" ht="8.100000381469727" customHeight="1"/>
    <x:row r="551" ht="8.100000381469727" customHeight="1"/>
    <x:row r="552" ht="8.100000381469727" customHeight="1"/>
    <x:row r="553" ht="8.100000381469727" customHeight="1"/>
    <x:row r="554" ht="8.100000381469727" customHeight="1"/>
    <x:row r="555" ht="8.100000381469727" customHeight="1"/>
    <x:row r="556" ht="8.100000381469727" customHeight="1"/>
    <x:row r="557" ht="8.100000381469727" customHeight="1"/>
    <x:row r="558" ht="8.100000381469727" customHeight="1"/>
    <x:row r="559" ht="8.100000381469727" customHeight="1"/>
    <x:row r="560" ht="8.100000381469727" customHeight="1"/>
    <x:row r="561" ht="8.100000381469727" customHeight="1"/>
    <x:row r="562" ht="8.100000381469727" customHeight="1"/>
    <x:row r="563" ht="8.100000381469727" customHeight="1"/>
    <x:row r="564" ht="8.100000381469727" customHeight="1"/>
    <x:row r="565" ht="8.100000381469727" customHeight="1"/>
    <x:row r="566" ht="8.100000381469727" customHeight="1"/>
    <x:row r="567" ht="8.100000381469727" customHeight="1"/>
    <x:row r="568" ht="8.100000381469727" customHeight="1"/>
    <x:row r="569" ht="8.100000381469727" customHeight="1"/>
    <x:row r="570" ht="8.100000381469727" customHeight="1"/>
    <x:row r="571" ht="8.100000381469727" customHeight="1"/>
    <x:row r="572" ht="8.100000381469727" customHeight="1"/>
    <x:row r="573" ht="8.100000381469727" customHeight="1"/>
    <x:row r="574" ht="8.100000381469727" customHeight="1"/>
    <x:row r="575" ht="8.100000381469727" customHeight="1"/>
    <x:row r="576" ht="8.100000381469727" customHeight="1"/>
    <x:row r="577" ht="8.100000381469727" customHeight="1"/>
    <x:row r="578" ht="8.100000381469727" customHeight="1"/>
    <x:row r="579" ht="8.100000381469727" customHeight="1"/>
    <x:row r="580" ht="8.100000381469727" customHeight="1"/>
    <x:row r="581" ht="8.100000381469727" customHeight="1"/>
    <x:row r="582" ht="8.100000381469727" customHeight="1"/>
    <x:row r="583" ht="8.100000381469727" customHeight="1"/>
    <x:row r="584" ht="8.100000381469727" customHeight="1"/>
    <x:row r="585" ht="8.100000381469727" customHeight="1"/>
    <x:row r="586" ht="8.100000381469727" customHeight="1"/>
    <x:row r="587" ht="8.100000381469727" customHeight="1"/>
    <x:row r="588" ht="8.100000381469727" customHeight="1"/>
    <x:row r="589" ht="8.100000381469727" customHeight="1"/>
    <x:row r="590" ht="8.100000381469727" customHeight="1"/>
    <x:row r="591" ht="8.100000381469727" customHeight="1"/>
    <x:row r="592" ht="8.100000381469727" customHeight="1"/>
    <x:row r="593" ht="8.100000381469727" customHeight="1"/>
    <x:row r="594" ht="8.100000381469727" customHeight="1"/>
    <x:row r="595" ht="8.100000381469727" customHeight="1"/>
    <x:row r="596" ht="8.100000381469727" customHeight="1"/>
    <x:row r="597" ht="8.100000381469727" customHeight="1"/>
    <x:row r="598" ht="8.100000381469727" customHeight="1"/>
    <x:row r="599" ht="8.100000381469727" customHeight="1"/>
    <x:row r="600" ht="8.100000381469727" customHeight="1"/>
    <x:row r="601" ht="8.100000381469727" customHeight="1"/>
    <x:row r="602" ht="8.100000381469727" customHeight="1"/>
    <x:row r="603" ht="8.100000381469727" customHeight="1"/>
    <x:row r="604" ht="8.100000381469727" customHeight="1"/>
    <x:row r="605" ht="8.100000381469727" customHeight="1"/>
    <x:row r="606" ht="8.100000381469727" customHeight="1"/>
    <x:row r="607" ht="8.100000381469727" customHeight="1"/>
    <x:row r="608" ht="8.100000381469727" customHeight="1"/>
    <x:row r="609" ht="8.100000381469727" customHeight="1"/>
    <x:row r="610" ht="8.100000381469727" customHeight="1"/>
    <x:row r="611" ht="8.100000381469727" customHeight="1"/>
    <x:row r="612" ht="8.100000381469727" customHeight="1"/>
    <x:row r="613" ht="8.100000381469727" customHeight="1"/>
    <x:row r="614" ht="8.100000381469727" customHeight="1"/>
    <x:row r="615" ht="8.100000381469727" customHeight="1"/>
    <x:row r="616" ht="8.100000381469727" customHeight="1"/>
    <x:row r="617" ht="8.100000381469727" customHeight="1"/>
    <x:row r="618" ht="8.100000381469727" customHeight="1"/>
    <x:row r="619" ht="8.100000381469727" customHeight="1"/>
    <x:row r="620" ht="8.100000381469727" customHeight="1"/>
    <x:row r="621" ht="8.100000381469727" customHeight="1"/>
    <x:row r="622" ht="8.100000381469727" customHeight="1"/>
    <x:row r="623" ht="8.100000381469727" customHeight="1"/>
    <x:row r="624" ht="8.100000381469727" customHeight="1"/>
    <x:row r="625" ht="8.100000381469727" customHeight="1"/>
    <x:row r="626" ht="8.100000381469727" customHeight="1"/>
    <x:row r="627" ht="8.100000381469727" customHeight="1"/>
    <x:row r="628" ht="8.100000381469727" customHeight="1"/>
    <x:row r="629" ht="8.100000381469727" customHeight="1"/>
    <x:row r="630" ht="8.100000381469727" customHeight="1"/>
    <x:row r="631" ht="8.100000381469727" customHeight="1"/>
    <x:row r="632" ht="8.100000381469727" customHeight="1"/>
    <x:row r="633" ht="8.100000381469727" customHeight="1"/>
    <x:row r="634" ht="8.100000381469727" customHeight="1"/>
    <x:row r="635" ht="8.100000381469727" customHeight="1"/>
    <x:row r="636" ht="8.100000381469727" customHeight="1"/>
    <x:row r="637" ht="8.100000381469727" customHeight="1"/>
    <x:row r="638" ht="8.100000381469727" customHeight="1"/>
    <x:row r="639" ht="8.100000381469727" customHeight="1"/>
    <x:row r="640" ht="8.100000381469727" customHeight="1"/>
    <x:row r="641" ht="8.100000381469727" customHeight="1"/>
    <x:row r="642" ht="8.100000381469727" customHeight="1"/>
    <x:row r="643" ht="8.100000381469727" customHeight="1"/>
    <x:row r="644" ht="8.100000381469727" customHeight="1"/>
    <x:row r="645" ht="8.100000381469727" customHeight="1"/>
    <x:row r="646" ht="8.100000381469727" customHeight="1"/>
    <x:row r="647" ht="8.100000381469727" customHeight="1"/>
    <x:row r="648" ht="8.100000381469727" customHeight="1"/>
    <x:row r="649" ht="8.100000381469727" customHeight="1"/>
    <x:row r="650" ht="8.100000381469727" customHeight="1"/>
    <x:row r="651" ht="8.100000381469727" customHeight="1"/>
    <x:row r="652" ht="8.100000381469727" customHeight="1"/>
    <x:row r="653" ht="8.100000381469727" customHeight="1"/>
    <x:row r="654" ht="8.100000381469727" customHeight="1"/>
    <x:row r="655" ht="8.100000381469727" customHeight="1"/>
    <x:row r="656" ht="8.100000381469727" customHeight="1"/>
    <x:row r="657" ht="8.100000381469727" customHeight="1"/>
    <x:row r="658" ht="8.100000381469727" customHeight="1"/>
    <x:row r="659" ht="8.100000381469727" customHeight="1"/>
    <x:row r="660" ht="8.100000381469727" customHeight="1"/>
    <x:row r="661" ht="8.100000381469727" customHeight="1"/>
    <x:row r="662" ht="8.100000381469727" customHeight="1"/>
    <x:row r="663" ht="8.100000381469727" customHeight="1"/>
    <x:row r="664" ht="8.100000381469727" customHeight="1"/>
    <x:row r="665" ht="8.100000381469727" customHeight="1"/>
    <x:row r="666" ht="8.100000381469727" customHeight="1"/>
    <x:row r="667" ht="8.100000381469727" customHeight="1"/>
    <x:row r="668" ht="8.100000381469727" customHeight="1"/>
    <x:row r="669" ht="8.100000381469727" customHeight="1"/>
    <x:row r="670" ht="8.100000381469727" customHeight="1"/>
    <x:row r="671" ht="8.100000381469727" customHeight="1"/>
    <x:row r="672" ht="8.100000381469727" customHeight="1"/>
    <x:row r="673" ht="8.100000381469727" customHeight="1"/>
    <x:row r="674" ht="8.100000381469727" customHeight="1"/>
    <x:row r="675" ht="8.100000381469727" customHeight="1"/>
    <x:row r="676" ht="8.100000381469727" customHeight="1"/>
    <x:row r="677" ht="8.100000381469727" customHeight="1"/>
    <x:row r="678" ht="8.100000381469727" customHeight="1"/>
    <x:row r="679" ht="8.100000381469727" customHeight="1"/>
    <x:row r="680" ht="8.100000381469727" customHeight="1"/>
    <x:row r="681" ht="8.100000381469727" customHeight="1"/>
    <x:row r="682" ht="8.100000381469727" customHeight="1"/>
    <x:row r="683" ht="8.100000381469727" customHeight="1"/>
    <x:row r="684" ht="8.100000381469727" customHeight="1"/>
    <x:row r="685" ht="8.100000381469727" customHeight="1"/>
    <x:row r="686" ht="8.100000381469727" customHeight="1"/>
    <x:row r="687" ht="8.100000381469727" customHeight="1"/>
    <x:row r="688" ht="8.100000381469727" customHeight="1"/>
    <x:row r="689" ht="8.100000381469727" customHeight="1"/>
    <x:row r="690" ht="8.100000381469727" customHeight="1"/>
    <x:row r="691" ht="8.100000381469727" customHeight="1"/>
    <x:row r="692" ht="8.100000381469727" customHeight="1"/>
    <x:row r="693" ht="8.100000381469727" customHeight="1"/>
    <x:row r="694" ht="8.100000381469727" customHeight="1"/>
    <x:row r="695" ht="8.100000381469727" customHeight="1"/>
    <x:row r="696" ht="8.100000381469727" customHeight="1"/>
    <x:row r="697" ht="8.100000381469727" customHeight="1"/>
    <x:row r="698" ht="8.100000381469727" customHeight="1"/>
    <x:row r="699" ht="8.100000381469727" customHeight="1"/>
    <x:row r="700" ht="8.100000381469727" customHeight="1"/>
    <x:row r="701" ht="8.100000381469727" customHeight="1"/>
    <x:row r="702" ht="8.100000381469727" customHeight="1"/>
    <x:row r="703" ht="8.100000381469727" customHeight="1"/>
    <x:row r="704" ht="8.100000381469727" customHeight="1"/>
    <x:row r="705" ht="8.100000381469727" customHeight="1"/>
    <x:row r="706" ht="8.100000381469727" customHeight="1"/>
    <x:row r="707" ht="8.100000381469727" customHeight="1"/>
    <x:row r="708" ht="8.100000381469727" customHeight="1"/>
    <x:row r="709" ht="8.100000381469727" customHeight="1"/>
    <x:row r="710" ht="8.100000381469727" customHeight="1"/>
    <x:row r="711" ht="8.100000381469727" customHeight="1"/>
    <x:row r="712" ht="8.100000381469727" customHeight="1"/>
    <x:row r="713" ht="8.100000381469727" customHeight="1"/>
    <x:row r="714" ht="8.100000381469727" customHeight="1"/>
    <x:row r="715" ht="8.100000381469727" customHeight="1"/>
    <x:row r="716" ht="8.100000381469727" customHeight="1"/>
    <x:row r="717" ht="8.100000381469727" customHeight="1"/>
    <x:row r="718" ht="8.100000381469727" customHeight="1"/>
    <x:row r="719" ht="8.100000381469727" customHeight="1"/>
    <x:row r="720" ht="8.100000381469727" customHeight="1"/>
    <x:row r="721" ht="8.100000381469727" customHeight="1"/>
    <x:row r="722" ht="8.100000381469727" customHeight="1"/>
    <x:row r="723" ht="8.100000381469727" customHeight="1"/>
    <x:row r="724" ht="8.100000381469727" customHeight="1"/>
    <x:row r="725" ht="8.100000381469727" customHeight="1"/>
    <x:row r="726" ht="8.100000381469727" customHeight="1"/>
    <x:row r="727" ht="8.100000381469727" customHeight="1"/>
    <x:row r="728" ht="8.100000381469727" customHeight="1"/>
    <x:row r="729" ht="8.100000381469727" customHeight="1"/>
    <x:row r="730" ht="8.100000381469727" customHeight="1"/>
    <x:row r="731" ht="8.100000381469727" customHeight="1"/>
    <x:row r="732" ht="8.100000381469727" customHeight="1"/>
    <x:row r="733" ht="8.100000381469727" customHeight="1"/>
    <x:row r="734" ht="8.100000381469727" customHeight="1"/>
    <x:row r="735" ht="8.100000381469727" customHeight="1"/>
    <x:row r="736" ht="8.100000381469727" customHeight="1"/>
    <x:row r="737" ht="8.100000381469727" customHeight="1"/>
    <x:row r="738" ht="8.100000381469727" customHeight="1"/>
    <x:row r="739" ht="8.100000381469727" customHeight="1"/>
    <x:row r="740" ht="8.100000381469727" customHeight="1"/>
    <x:row r="741" ht="8.100000381469727" customHeight="1"/>
    <x:row r="742" ht="8.100000381469727" customHeight="1"/>
    <x:row r="743" ht="8.100000381469727" customHeight="1"/>
    <x:row r="744" ht="8.100000381469727" customHeight="1"/>
    <x:row r="745" ht="8.100000381469727" customHeight="1"/>
    <x:row r="746" ht="8.100000381469727" customHeight="1"/>
    <x:row r="747" ht="8.100000381469727" customHeight="1"/>
    <x:row r="748" ht="8.100000381469727" customHeight="1"/>
    <x:row r="749" ht="8.100000381469727" customHeight="1"/>
    <x:row r="750" ht="8.100000381469727" customHeight="1"/>
    <x:row r="751" ht="8.100000381469727" customHeight="1"/>
    <x:row r="752" ht="8.100000381469727" customHeight="1"/>
    <x:row r="753" ht="8.100000381469727" customHeight="1"/>
    <x:row r="754" ht="8.100000381469727" customHeight="1"/>
    <x:row r="755" ht="8.100000381469727" customHeight="1"/>
    <x:row r="756" ht="8.100000381469727" customHeight="1"/>
    <x:row r="757" ht="8.100000381469727" customHeight="1"/>
    <x:row r="758" ht="8.100000381469727" customHeight="1"/>
    <x:row r="759" ht="8.100000381469727" customHeight="1"/>
    <x:row r="760" ht="8.100000381469727" customHeight="1"/>
    <x:row r="761" ht="8.100000381469727" customHeight="1"/>
    <x:row r="762" ht="8.100000381469727" customHeight="1"/>
    <x:row r="763" ht="8.100000381469727" customHeight="1"/>
    <x:row r="764" ht="8.100000381469727" customHeight="1"/>
    <x:row r="765" ht="8.100000381469727" customHeight="1"/>
    <x:row r="766" ht="8.100000381469727" customHeight="1"/>
    <x:row r="767" ht="8.100000381469727" customHeight="1"/>
    <x:row r="768" ht="8.100000381469727" customHeight="1"/>
    <x:row r="769" ht="8.100000381469727" customHeight="1"/>
    <x:row r="770" ht="8.100000381469727" customHeight="1"/>
    <x:row r="771" ht="8.100000381469727" customHeight="1"/>
    <x:row r="772" ht="8.100000381469727" customHeight="1"/>
    <x:row r="773" ht="8.100000381469727" customHeight="1"/>
    <x:row r="774" ht="8.100000381469727" customHeight="1"/>
    <x:row r="775" ht="8.100000381469727" customHeight="1"/>
    <x:row r="776" ht="8.100000381469727" customHeight="1"/>
    <x:row r="777" ht="8.100000381469727" customHeight="1"/>
    <x:row r="778" ht="8.100000381469727" customHeight="1"/>
    <x:row r="779" ht="8.100000381469727" customHeight="1"/>
    <x:row r="780" ht="8.100000381469727" customHeight="1"/>
    <x:row r="781" ht="8.100000381469727" customHeight="1"/>
    <x:row r="782" ht="8.100000381469727" customHeight="1"/>
    <x:row r="783" ht="8.100000381469727" customHeight="1"/>
    <x:row r="784" ht="8.100000381469727" customHeight="1"/>
    <x:row r="785" ht="8.100000381469727" customHeight="1"/>
    <x:row r="786" ht="8.100000381469727" customHeight="1"/>
    <x:row r="787" ht="8.100000381469727" customHeight="1"/>
    <x:row r="788" ht="8.100000381469727" customHeight="1"/>
    <x:row r="789" ht="8.100000381469727" customHeight="1"/>
    <x:row r="790" ht="8.100000381469727" customHeight="1"/>
    <x:row r="791" ht="8.100000381469727" customHeight="1"/>
    <x:row r="792" ht="8.100000381469727" customHeight="1"/>
    <x:row r="793" ht="8.100000381469727" customHeight="1"/>
    <x:row r="794" ht="8.100000381469727" customHeight="1"/>
    <x:row r="795" ht="8.100000381469727" customHeight="1"/>
    <x:row r="796" ht="8.100000381469727" customHeight="1"/>
    <x:row r="797" ht="8.100000381469727" customHeight="1"/>
    <x:row r="798" ht="8.100000381469727" customHeight="1"/>
    <x:row r="799" ht="8.100000381469727" customHeight="1"/>
    <x:row r="800" ht="8.100000381469727" customHeight="1"/>
    <x:row r="801" ht="8.100000381469727" customHeight="1"/>
    <x:row r="802" ht="8.100000381469727" customHeight="1"/>
    <x:row r="803" ht="8.100000381469727" customHeight="1"/>
    <x:row r="804" ht="8.100000381469727" customHeight="1"/>
    <x:row r="805" ht="8.100000381469727" customHeight="1"/>
    <x:row r="806" ht="8.100000381469727" customHeight="1"/>
    <x:row r="807" ht="8.100000381469727" customHeight="1"/>
    <x:row r="808" ht="8.100000381469727" customHeight="1"/>
    <x:row r="809" ht="8.100000381469727" customHeight="1"/>
    <x:row r="810" ht="8.100000381469727" customHeight="1"/>
    <x:row r="811" ht="8.100000381469727" customHeight="1"/>
    <x:row r="812" ht="8.100000381469727" customHeight="1"/>
    <x:row r="813" ht="8.100000381469727" customHeight="1"/>
    <x:row r="814" ht="8.100000381469727" customHeight="1"/>
    <x:row r="815" ht="8.100000381469727" customHeight="1"/>
    <x:row r="816" ht="8.100000381469727" customHeight="1"/>
    <x:row r="817" ht="8.100000381469727" customHeight="1"/>
    <x:row r="818" ht="8.100000381469727" customHeight="1"/>
    <x:row r="819" ht="8.100000381469727" customHeight="1"/>
    <x:row r="820" ht="8.100000381469727" customHeight="1"/>
    <x:row r="821" ht="8.100000381469727" customHeight="1"/>
    <x:row r="822" ht="8.100000381469727" customHeight="1"/>
    <x:row r="823" ht="8.100000381469727" customHeight="1"/>
    <x:row r="824" ht="8.100000381469727" customHeight="1"/>
    <x:row r="825" ht="8.100000381469727" customHeight="1"/>
    <x:row r="826" ht="8.100000381469727" customHeight="1"/>
    <x:row r="827" ht="8.100000381469727" customHeight="1"/>
    <x:row r="828" ht="8.100000381469727" customHeight="1"/>
    <x:row r="829" ht="8.100000381469727" customHeight="1"/>
    <x:row r="830" ht="8.100000381469727" customHeight="1"/>
    <x:row r="831" ht="8.100000381469727" customHeight="1"/>
    <x:row r="832" ht="8.100000381469727" customHeight="1"/>
    <x:row r="833" ht="8.100000381469727" customHeight="1"/>
    <x:row r="834" ht="8.100000381469727" customHeight="1"/>
    <x:row r="835" ht="8.100000381469727" customHeight="1"/>
    <x:row r="836" ht="8.100000381469727" customHeight="1"/>
    <x:row r="837" ht="8.100000381469727" customHeight="1"/>
    <x:row r="838" ht="8.100000381469727" customHeight="1"/>
    <x:row r="839" ht="8.100000381469727" customHeight="1"/>
    <x:row r="840" ht="8.100000381469727" customHeight="1"/>
    <x:row r="841" ht="8.100000381469727" customHeight="1"/>
    <x:row r="842" ht="8.100000381469727" customHeight="1"/>
    <x:row r="843" ht="8.100000381469727" customHeight="1"/>
    <x:row r="844" ht="8.100000381469727" customHeight="1"/>
    <x:row r="845" ht="8.100000381469727" customHeight="1"/>
    <x:row r="846" ht="8.100000381469727" customHeight="1"/>
    <x:row r="847" ht="8.100000381469727" customHeight="1"/>
    <x:row r="848" ht="8.100000381469727" customHeight="1"/>
    <x:row r="849" ht="8.100000381469727" customHeight="1"/>
    <x:row r="850" ht="8.100000381469727" customHeight="1"/>
    <x:row r="851" ht="8.100000381469727" customHeight="1"/>
    <x:row r="852" ht="8.100000381469727" customHeight="1"/>
    <x:row r="853" ht="8.100000381469727" customHeight="1"/>
    <x:row r="854" ht="8.100000381469727" customHeight="1"/>
    <x:row r="855" ht="8.100000381469727" customHeight="1"/>
    <x:row r="856" ht="8.100000381469727" customHeight="1"/>
    <x:row r="857" ht="8.100000381469727" customHeight="1"/>
    <x:row r="858" ht="8.100000381469727" customHeight="1"/>
    <x:row r="859" ht="8.100000381469727" customHeight="1"/>
    <x:row r="860" ht="8.100000381469727" customHeight="1"/>
    <x:row r="861" ht="8.100000381469727" customHeight="1"/>
    <x:row r="862" ht="8.100000381469727" customHeight="1"/>
    <x:row r="863" ht="8.100000381469727" customHeight="1"/>
    <x:row r="864" ht="8.100000381469727" customHeight="1"/>
    <x:row r="865" ht="8.100000381469727" customHeight="1"/>
    <x:row r="866" ht="8.100000381469727" customHeight="1"/>
    <x:row r="867" ht="8.100000381469727" customHeight="1"/>
    <x:row r="868" ht="8.100000381469727" customHeight="1"/>
    <x:row r="869" ht="8.100000381469727" customHeight="1"/>
    <x:row r="870" ht="8.100000381469727" customHeight="1"/>
    <x:row r="871" ht="8.100000381469727" customHeight="1"/>
    <x:row r="872" ht="8.100000381469727" customHeight="1"/>
    <x:row r="873" ht="8.100000381469727" customHeight="1"/>
    <x:row r="874" ht="8.100000381469727" customHeight="1"/>
    <x:row r="875" ht="8.100000381469727" customHeight="1"/>
    <x:row r="876" ht="8.100000381469727" customHeight="1"/>
    <x:row r="877" ht="8.100000381469727" customHeight="1"/>
    <x:row r="878" ht="8.100000381469727" customHeight="1"/>
    <x:row r="879" ht="8.100000381469727" customHeight="1"/>
    <x:row r="880" ht="8.100000381469727" customHeight="1"/>
    <x:row r="881" ht="8.100000381469727" customHeight="1"/>
    <x:row r="882" ht="8.100000381469727" customHeight="1"/>
    <x:row r="883" ht="8.100000381469727" customHeight="1"/>
    <x:row r="884" ht="8.100000381469727" customHeight="1"/>
    <x:row r="885" ht="8.100000381469727" customHeight="1"/>
    <x:row r="886" ht="8.100000381469727" customHeight="1"/>
    <x:row r="887" ht="8.100000381469727" customHeight="1"/>
    <x:row r="888" ht="8.100000381469727" customHeight="1"/>
    <x:row r="889" ht="8.100000381469727" customHeight="1"/>
    <x:row r="890" ht="8.100000381469727" customHeight="1"/>
    <x:row r="891" ht="8.100000381469727" customHeight="1"/>
    <x:row r="892" ht="8.100000381469727" customHeight="1"/>
    <x:row r="893" ht="8.100000381469727" customHeight="1"/>
    <x:row r="894" ht="8.100000381469727" customHeight="1"/>
    <x:row r="895" ht="8.100000381469727" customHeight="1"/>
    <x:row r="896" ht="8.100000381469727" customHeight="1"/>
    <x:row r="897" ht="8.100000381469727" customHeight="1"/>
    <x:row r="898" ht="8.100000381469727" customHeight="1"/>
    <x:row r="899" ht="8.100000381469727" customHeight="1"/>
    <x:row r="900" ht="8.100000381469727" customHeight="1"/>
    <x:row r="901" ht="8.100000381469727" customHeight="1"/>
    <x:row r="902" ht="8.100000381469727" customHeight="1"/>
    <x:row r="903" ht="8.100000381469727" customHeight="1"/>
    <x:row r="904" ht="8.100000381469727" customHeight="1"/>
    <x:row r="905" ht="8.100000381469727" customHeight="1"/>
    <x:row r="906" ht="8.100000381469727" customHeight="1"/>
    <x:row r="907" ht="8.100000381469727" customHeight="1"/>
    <x:row r="908" ht="8.100000381469727" customHeight="1"/>
    <x:row r="909" ht="8.100000381469727" customHeight="1"/>
    <x:row r="910" ht="8.100000381469727" customHeight="1"/>
    <x:row r="911" ht="8.100000381469727" customHeight="1"/>
    <x:row r="912" ht="8.100000381469727" customHeight="1"/>
    <x:row r="913" ht="8.100000381469727" customHeight="1"/>
    <x:row r="914" ht="8.100000381469727" customHeight="1"/>
    <x:row r="915" ht="8.100000381469727" customHeight="1"/>
    <x:row r="916" ht="8.100000381469727" customHeight="1"/>
    <x:row r="917" ht="8.100000381469727" customHeight="1"/>
    <x:row r="918" ht="8.100000381469727" customHeight="1"/>
    <x:row r="919" ht="8.100000381469727" customHeight="1"/>
    <x:row r="920" ht="8.100000381469727" customHeight="1"/>
    <x:row r="921" ht="8.100000381469727" customHeight="1"/>
    <x:row r="922" ht="8.100000381469727" customHeight="1"/>
    <x:row r="923" ht="8.100000381469727" customHeight="1"/>
    <x:row r="924" ht="8.100000381469727" customHeight="1"/>
    <x:row r="925" ht="8.100000381469727" customHeight="1"/>
    <x:row r="926" ht="8.100000381469727" customHeight="1"/>
    <x:row r="927" ht="8.100000381469727" customHeight="1"/>
    <x:row r="928" ht="8.100000381469727" customHeight="1"/>
    <x:row r="929" ht="8.100000381469727" customHeight="1"/>
    <x:row r="930" ht="8.100000381469727" customHeight="1"/>
    <x:row r="931" ht="8.100000381469727" customHeight="1"/>
    <x:row r="932" ht="8.100000381469727" customHeight="1"/>
    <x:row r="933" ht="8.100000381469727" customHeight="1"/>
    <x:row r="934" ht="8.100000381469727" customHeight="1"/>
    <x:row r="935" ht="8.100000381469727" customHeight="1"/>
    <x:row r="936" ht="8.100000381469727" customHeight="1"/>
    <x:row r="937" ht="8.100000381469727" customHeight="1"/>
    <x:row r="938" ht="8.100000381469727" customHeight="1"/>
    <x:row r="939" ht="8.100000381469727" customHeight="1"/>
    <x:row r="940" ht="8.100000381469727" customHeight="1"/>
    <x:row r="941" ht="8.100000381469727" customHeight="1"/>
    <x:row r="942" ht="8.100000381469727" customHeight="1"/>
    <x:row r="943" ht="8.100000381469727" customHeight="1"/>
    <x:row r="944" ht="8.100000381469727" customHeight="1"/>
    <x:row r="945" ht="8.100000381469727" customHeight="1"/>
    <x:row r="946" ht="8.100000381469727" customHeight="1"/>
    <x:row r="947" ht="8.100000381469727" customHeight="1"/>
    <x:row r="948" ht="8.100000381469727" customHeight="1"/>
    <x:row r="949" ht="8.100000381469727" customHeight="1"/>
    <x:row r="950" ht="8.100000381469727" customHeight="1"/>
    <x:row r="951" ht="8.100000381469727" customHeight="1"/>
    <x:row r="952" ht="8.100000381469727" customHeight="1"/>
    <x:row r="953" ht="8.100000381469727" customHeight="1"/>
    <x:row r="954" ht="8.100000381469727" customHeight="1"/>
    <x:row r="955" ht="8.100000381469727" customHeight="1"/>
    <x:row r="956" ht="8.100000381469727" customHeight="1"/>
    <x:row r="957" ht="8.100000381469727" customHeight="1"/>
    <x:row r="958" ht="8.100000381469727" customHeight="1"/>
    <x:row r="959" ht="8.100000381469727" customHeight="1"/>
    <x:row r="960" ht="8.100000381469727" customHeight="1"/>
    <x:row r="961" ht="8.100000381469727" customHeight="1"/>
    <x:row r="962" ht="8.100000381469727" customHeight="1"/>
    <x:row r="963" ht="8.100000381469727" customHeight="1"/>
    <x:row r="964" ht="8.100000381469727" customHeight="1"/>
    <x:row r="965" ht="8.100000381469727" customHeight="1"/>
    <x:row r="966" ht="8.100000381469727" customHeight="1"/>
    <x:row r="967" ht="8.100000381469727" customHeight="1"/>
    <x:row r="968" ht="8.100000381469727" customHeight="1"/>
    <x:row r="969" ht="8.100000381469727" customHeight="1"/>
    <x:row r="970" ht="8.100000381469727" customHeight="1"/>
    <x:row r="971" ht="8.100000381469727" customHeight="1"/>
    <x:row r="972" ht="8.100000381469727" customHeight="1"/>
    <x:row r="973" ht="8.100000381469727" customHeight="1"/>
    <x:row r="974" ht="8.100000381469727" customHeight="1"/>
    <x:row r="975" ht="8.100000381469727" customHeight="1"/>
    <x:row r="976" ht="8.100000381469727" customHeight="1"/>
    <x:row r="977" ht="8.100000381469727" customHeight="1"/>
    <x:row r="978" ht="8.100000381469727" customHeight="1"/>
    <x:row r="979" ht="8.100000381469727" customHeight="1"/>
    <x:row r="980" ht="8.100000381469727" customHeight="1"/>
    <x:row r="981" ht="8.100000381469727" customHeight="1"/>
    <x:row r="982" ht="8.100000381469727" customHeight="1"/>
    <x:row r="983" ht="8.100000381469727" customHeight="1"/>
    <x:row r="984" ht="8.100000381469727" customHeight="1"/>
    <x:row r="985" ht="8.100000381469727" customHeight="1"/>
    <x:row r="986" ht="8.100000381469727" customHeight="1"/>
    <x:row r="987" ht="8.100000381469727" customHeight="1"/>
    <x:row r="988" ht="8.100000381469727" customHeight="1"/>
    <x:row r="989" ht="8.100000381469727" customHeight="1"/>
    <x:row r="990" ht="8.100000381469727" customHeight="1"/>
    <x:row r="991" ht="8.100000381469727" customHeight="1"/>
    <x:row r="992" ht="8.100000381469727" customHeight="1"/>
    <x:row r="993" ht="8.100000381469727" customHeight="1"/>
    <x:row r="994" ht="8.100000381469727" customHeight="1"/>
    <x:row r="995" ht="8.100000381469727" customHeight="1"/>
    <x:row r="996" ht="8.100000381469727" customHeight="1"/>
    <x:row r="997" ht="8.100000381469727" customHeight="1"/>
    <x:row r="998" ht="8.100000381469727" customHeight="1"/>
  </x:sheetData>
  <x:mergeCells>
    <x:mergeCell ref="J12:K12"/>
    <x:mergeCell ref="A1:B1"/>
    <x:mergeCell ref="A2:B2"/>
    <x:mergeCell ref="A3:B3"/>
    <x:mergeCell ref="A4:B4"/>
    <x:mergeCell ref="A5:B5"/>
    <x:mergeCell ref="H7:K7"/>
    <x:mergeCell ref="B8:C8"/>
    <x:mergeCell ref="H8:K8"/>
    <x:mergeCell ref="H9:K9"/>
    <x:mergeCell ref="H10:K10"/>
    <x:mergeCell ref="A7:E7"/>
    <x:mergeCell ref="B26:C26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38:C38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50:C50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1:C51"/>
    <x:mergeCell ref="B63:C63"/>
    <x:mergeCell ref="B57:C57"/>
    <x:mergeCell ref="B58:C58"/>
    <x:mergeCell ref="B59:C59"/>
    <x:mergeCell ref="B60:C60"/>
    <x:mergeCell ref="B61:C61"/>
    <x:mergeCell ref="B62:C62"/>
    <x:mergeCell ref="B52:C52"/>
    <x:mergeCell ref="B53:C53"/>
    <x:mergeCell ref="B54:C54"/>
    <x:mergeCell ref="B55:C55"/>
    <x:mergeCell ref="B56:C56"/>
  </x:mergeCells>
  <x:pageMargins left="0.7" right="0.7" top="0.75" bottom="0.75" header="0.3" footer="0.3"/>
</x:worksheet>
</file>

<file path=xl/worksheets/sheet3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3.800000190734863"/>
  <x:cols>
    <x:col min="1" max="1" width="12" style="32" customWidth="1"/>
    <x:col min="2" max="5" width="17" customWidth="1"/>
    <x:col min="6" max="6" width="12" customWidth="1"/>
    <x:col min="7" max="9" width="17" customWidth="1"/>
  </x:cols>
  <x:sheetData>
    <x:row r="1" ht="17.399999618530273">
      <x:c r="A1" s="112" t="str">
        <x:v>Sprint 1 Capstone Progress Charts</x:v>
      </x:c>
      <x:c r="B1" s="112"/>
      <x:c r="C1" s="112"/>
      <x:c r="D1" s="112"/>
      <x:c r="E1" s="112"/>
      <x:c r="F1" s="112"/>
      <x:c r="G1" s="112"/>
      <x:c r="H1" s="112"/>
      <x:c r="I1" s="113"/>
      <x:c r="J1" s="113"/>
      <x:c r="K1" s="113"/>
      <x:c r="L1" s="113"/>
      <x:c r="M1" s="113"/>
      <x:c r="N1" s="113"/>
      <x:c r="O1" s="113"/>
      <x:c r="P1" s="113"/>
    </x:row>
    <x:row r="3" ht="16.799999237060547">
      <x:c r="A3" s="42" t="s">
        <x:v>17</x:v>
      </x:c>
      <x:c r="B3" s="42" t="s">
        <x:v>18</x:v>
      </x:c>
      <x:c r="C3" s="42" t="s">
        <x:v>19</x:v>
      </x:c>
      <x:c r="D3" s="43" t="s">
        <x:v>20</x:v>
      </x:c>
      <x:c r="F3" s="47" t="s">
        <x:v>17</x:v>
      </x:c>
      <x:c r="G3" s="47" t="s">
        <x:v>21</x:v>
      </x:c>
      <x:c r="H3" s="47" t="s">
        <x:v>22</x:v>
      </x:c>
      <x:c r="I3" s="47" t="s">
        <x:v>23</x:v>
      </x:c>
    </x:row>
    <x:row r="4" ht="16.799999237060547">
      <x:c r="A4" s="44" t="str">
        <x:v>25-Sep</x:v>
      </x:c>
      <x:c r="B4" s="45" t="n">
        <x:f>Estimate!F$64</x:f>
        <x:v>128</x:v>
      </x:c>
      <x:c r="C4" s="114" t="str">
        <x:f>IF(Actual!F$64="","",Actual!F$64)</x:f>
      </x:c>
      <x:c r="D4" s="46" t="n">
        <x:f>MAX(0,Estimate!$E$64*(1-(0/13)))</x:f>
        <x:v>128</x:v>
      </x:c>
      <x:c r="F4" s="48" t="str">
        <x:v>25-Sep</x:v>
      </x:c>
      <x:c r="G4" s="46" t="n">
        <x:f>Estimate!$E$64-B4</x:f>
        <x:v>0</x:v>
      </x:c>
      <x:c r="H4" s="46" t="str">
        <x:f>IF(C4="","",Estimate!$E$64-C4)</x:f>
      </x:c>
      <x:c r="I4" s="46" t="n">
        <x:f>Estimate!$E$64</x:f>
        <x:v>128</x:v>
      </x:c>
    </x:row>
    <x:row r="5" ht="16.799999237060547">
      <x:c r="A5" s="44" t="str">
        <x:v>26-Sep</x:v>
      </x:c>
      <x:c r="B5" s="45" t="n">
        <x:f>Estimate!G$64</x:f>
        <x:v>116</x:v>
      </x:c>
      <x:c r="C5" s="114" t="str">
        <x:f>IF(Actual!G$64="","",Actual!G$64)</x:f>
      </x:c>
      <x:c r="D5" s="46" t="n">
        <x:f>MAX(0,Estimate!$E$64*(1-(1/13)))</x:f>
        <x:v>118.15384615384616</x:v>
      </x:c>
      <x:c r="F5" s="48" t="str">
        <x:v>26-Sep</x:v>
      </x:c>
      <x:c r="G5" s="46" t="n">
        <x:f>Estimate!$E$64-B5</x:f>
        <x:v>12</x:v>
      </x:c>
      <x:c r="H5" s="46" t="str">
        <x:f>IF(C5="","",Estimate!$E$64-C5)</x:f>
      </x:c>
      <x:c r="I5" s="46" t="n">
        <x:f>Estimate!$E$64</x:f>
        <x:v>128</x:v>
      </x:c>
    </x:row>
    <x:row r="6" ht="16.799999237060547">
      <x:c r="A6" s="44" t="str">
        <x:v>27-Sep</x:v>
      </x:c>
      <x:c r="B6" s="45" t="n">
        <x:f>Estimate!H$64</x:f>
        <x:v>110</x:v>
      </x:c>
      <x:c r="C6" s="114" t="str">
        <x:f>IF(Actual!H$64="","",Actual!H$64)</x:f>
      </x:c>
      <x:c r="D6" s="46" t="n">
        <x:f>MAX(0,Estimate!$E$64*(1-(2/13)))</x:f>
        <x:v>108.3076923076923</x:v>
      </x:c>
      <x:c r="F6" s="48" t="str">
        <x:v>27-Sep</x:v>
      </x:c>
      <x:c r="G6" s="46" t="n">
        <x:f>Estimate!$E$64-B6</x:f>
        <x:v>18</x:v>
      </x:c>
      <x:c r="H6" s="46" t="str">
        <x:f>IF(C6="","",Estimate!$E$64-C6)</x:f>
      </x:c>
      <x:c r="I6" s="46" t="n">
        <x:f>Estimate!$E$64</x:f>
        <x:v>128</x:v>
      </x:c>
    </x:row>
    <x:row r="7" ht="16.799999237060547">
      <x:c r="A7" s="44" t="str">
        <x:v>28-Sep</x:v>
      </x:c>
      <x:c r="B7" s="45" t="n">
        <x:f>Estimate!I$64</x:f>
        <x:v>101</x:v>
      </x:c>
      <x:c r="C7" s="114" t="str">
        <x:f>IF(Actual!I$64="","",Actual!I$64)</x:f>
      </x:c>
      <x:c r="D7" s="46" t="n">
        <x:f>MAX(0,Estimate!$E$64*(1-(3/13)))</x:f>
        <x:v>98.46153846153845</x:v>
      </x:c>
      <x:c r="F7" s="48" t="str">
        <x:v>28-Sep</x:v>
      </x:c>
      <x:c r="G7" s="46" t="n">
        <x:f>Estimate!$E$64-B7</x:f>
        <x:v>27</x:v>
      </x:c>
      <x:c r="H7" s="46" t="str">
        <x:f>IF(C7="","",Estimate!$E$64-C7)</x:f>
      </x:c>
      <x:c r="I7" s="46" t="n">
        <x:f>Estimate!$E$64</x:f>
        <x:v>128</x:v>
      </x:c>
    </x:row>
    <x:row r="8" ht="16.799999237060547">
      <x:c r="A8" s="44" t="str">
        <x:v>29-Sep</x:v>
      </x:c>
      <x:c r="B8" s="45" t="n">
        <x:f>Estimate!J$64</x:f>
        <x:v>94</x:v>
      </x:c>
      <x:c r="C8" s="114" t="str">
        <x:f>IF(Actual!J$64="","",Actual!J$64)</x:f>
      </x:c>
      <x:c r="D8" s="46" t="n">
        <x:f>MAX(0,Estimate!$E$64*(1-(4/13)))</x:f>
        <x:v>88.61538461538461</x:v>
      </x:c>
      <x:c r="F8" s="48" t="str">
        <x:v>29-Sep</x:v>
      </x:c>
      <x:c r="G8" s="46" t="n">
        <x:f>Estimate!$E$64-B8</x:f>
        <x:v>34</x:v>
      </x:c>
      <x:c r="H8" s="46" t="str">
        <x:f>IF(C8="","",Estimate!$E$64-C8)</x:f>
      </x:c>
      <x:c r="I8" s="46" t="n">
        <x:f>Estimate!$E$64</x:f>
        <x:v>128</x:v>
      </x:c>
    </x:row>
    <x:row r="9" ht="16.799999237060547">
      <x:c r="A9" s="44" t="str">
        <x:v>30-Sep</x:v>
      </x:c>
      <x:c r="B9" s="45" t="n">
        <x:f>Estimate!K$64</x:f>
        <x:v>90</x:v>
      </x:c>
      <x:c r="C9" s="114" t="str">
        <x:f>IF(Actual!K$64="","",Actual!K$64)</x:f>
      </x:c>
      <x:c r="D9" s="46" t="n">
        <x:f>MAX(0,Estimate!$E$64*(1-(5/13)))</x:f>
        <x:v>78.76923076923077</x:v>
      </x:c>
      <x:c r="F9" s="48" t="str">
        <x:v>30-Sep</x:v>
      </x:c>
      <x:c r="G9" s="46" t="n">
        <x:f>Estimate!$E$64-B9</x:f>
        <x:v>38</x:v>
      </x:c>
      <x:c r="H9" s="46" t="str">
        <x:f>IF(C9="","",Estimate!$E$64-C9)</x:f>
      </x:c>
      <x:c r="I9" s="46" t="n">
        <x:f>Estimate!$E$64</x:f>
        <x:v>128</x:v>
      </x:c>
    </x:row>
    <x:row r="10" ht="16.799999237060547">
      <x:c r="A10" s="44" t="str">
        <x:v>01-Oct</x:v>
      </x:c>
      <x:c r="B10" s="45" t="n">
        <x:f>Estimate!L$64</x:f>
        <x:v>82</x:v>
      </x:c>
      <x:c r="C10" s="114" t="str">
        <x:f>IF(Actual!L$64="","",Actual!L$64)</x:f>
      </x:c>
      <x:c r="D10" s="46" t="n">
        <x:f>MAX(0,Estimate!$E$64*(1-(6/13)))</x:f>
        <x:v>68.92307692307692</x:v>
      </x:c>
      <x:c r="F10" s="48" t="str">
        <x:v>01-Oct</x:v>
      </x:c>
      <x:c r="G10" s="46" t="n">
        <x:f>Estimate!$E$64-B10</x:f>
        <x:v>46</x:v>
      </x:c>
      <x:c r="H10" s="46" t="str">
        <x:f>IF(C10="","",Estimate!$E$64-C10)</x:f>
      </x:c>
      <x:c r="I10" s="46" t="n">
        <x:f>Estimate!$E$64</x:f>
        <x:v>128</x:v>
      </x:c>
    </x:row>
    <x:row r="11" ht="16.799999237060547">
      <x:c r="A11" s="44" t="str">
        <x:v>02-Oct</x:v>
      </x:c>
      <x:c r="B11" s="45" t="n">
        <x:f>Estimate!M$64</x:f>
        <x:v>73</x:v>
      </x:c>
      <x:c r="C11" s="114" t="str">
        <x:f>IF(Actual!M$64="","",Actual!M$64)</x:f>
      </x:c>
      <x:c r="D11" s="46" t="n">
        <x:f>MAX(0,Estimate!$E$64*(1-(7/13)))</x:f>
        <x:v>59.07692307692308</x:v>
      </x:c>
      <x:c r="F11" s="48" t="str">
        <x:v>02-Oct</x:v>
      </x:c>
      <x:c r="G11" s="46" t="n">
        <x:f>Estimate!$E$64-B11</x:f>
        <x:v>55</x:v>
      </x:c>
      <x:c r="H11" s="46" t="str">
        <x:f>IF(C11="","",Estimate!$E$64-C11)</x:f>
      </x:c>
      <x:c r="I11" s="46" t="n">
        <x:f>Estimate!$E$64</x:f>
        <x:v>128</x:v>
      </x:c>
    </x:row>
    <x:row r="12" ht="16.799999237060547">
      <x:c r="A12" s="44" t="str">
        <x:v>03-Oct</x:v>
      </x:c>
      <x:c r="B12" s="45" t="n">
        <x:f>Estimate!N$64</x:f>
        <x:v>64</x:v>
      </x:c>
      <x:c r="C12" s="114" t="str">
        <x:f>IF(Actual!N$64="","",Actual!N$64)</x:f>
      </x:c>
      <x:c r="D12" s="46" t="n">
        <x:f>MAX(0,Estimate!$E$64*(1-(8/13)))</x:f>
        <x:v>49.230769230769226</x:v>
      </x:c>
      <x:c r="F12" s="48" t="str">
        <x:v>03-Oct</x:v>
      </x:c>
      <x:c r="G12" s="46" t="n">
        <x:f>Estimate!$E$64-B12</x:f>
        <x:v>64</x:v>
      </x:c>
      <x:c r="H12" s="46" t="str">
        <x:f>IF(C12="","",Estimate!$E$64-C12)</x:f>
      </x:c>
      <x:c r="I12" s="46" t="n">
        <x:f>Estimate!$E$64</x:f>
        <x:v>128</x:v>
      </x:c>
    </x:row>
    <x:row r="13" ht="16.799999237060547">
      <x:c r="A13" s="44" t="str">
        <x:v>04-Oct</x:v>
      </x:c>
      <x:c r="B13" s="45" t="n">
        <x:f>Estimate!O$64</x:f>
        <x:v>57</x:v>
      </x:c>
      <x:c r="C13" s="114" t="str">
        <x:f>IF(Actual!O$64="","",Actual!O$64)</x:f>
      </x:c>
      <x:c r="D13" s="46" t="n">
        <x:f>MAX(0,Estimate!$E$64*(1-(9/13)))</x:f>
        <x:v>39.38461538461539</x:v>
      </x:c>
      <x:c r="F13" s="48" t="str">
        <x:v>04-Oct</x:v>
      </x:c>
      <x:c r="G13" s="46" t="n">
        <x:f>Estimate!$E$64-B13</x:f>
        <x:v>71</x:v>
      </x:c>
      <x:c r="H13" s="46" t="str">
        <x:f>IF(C13="","",Estimate!$E$64-C13)</x:f>
      </x:c>
      <x:c r="I13" s="46" t="n">
        <x:f>Estimate!$E$64</x:f>
        <x:v>128</x:v>
      </x:c>
    </x:row>
    <x:row r="14" ht="16.799999237060547">
      <x:c r="A14" s="44" t="str">
        <x:v>05-Oct</x:v>
      </x:c>
      <x:c r="B14" s="45" t="n">
        <x:f>Estimate!P$64</x:f>
        <x:v>49</x:v>
      </x:c>
      <x:c r="C14" s="114" t="str">
        <x:f>IF(Actual!P$64="","",Actual!P$64)</x:f>
      </x:c>
      <x:c r="D14" s="46" t="n">
        <x:f>MAX(0,Estimate!$E$64*(1-(10/13)))</x:f>
        <x:v>29.538461538461533</x:v>
      </x:c>
      <x:c r="F14" s="48" t="str">
        <x:v>05-Oct</x:v>
      </x:c>
      <x:c r="G14" s="46" t="n">
        <x:f>Estimate!$E$64-B14</x:f>
        <x:v>79</x:v>
      </x:c>
      <x:c r="H14" s="46" t="str">
        <x:f>IF(C14="","",Estimate!$E$64-C14)</x:f>
      </x:c>
      <x:c r="I14" s="46" t="n">
        <x:f>Estimate!$E$64</x:f>
        <x:v>128</x:v>
      </x:c>
    </x:row>
    <x:row r="15" ht="16.799999237060547">
      <x:c r="A15" s="44" t="str">
        <x:v>06-Oct</x:v>
      </x:c>
      <x:c r="B15" s="45" t="n">
        <x:f>Estimate!Q$64</x:f>
        <x:v>37</x:v>
      </x:c>
      <x:c r="C15" s="114" t="str">
        <x:f>IF(Actual!Q$64="","",Actual!Q$64)</x:f>
      </x:c>
      <x:c r="D15" s="46" t="n">
        <x:f>MAX(0,Estimate!$E$64*(1-(11/13)))</x:f>
        <x:v>19.692307692307693</x:v>
      </x:c>
      <x:c r="F15" s="48" t="str">
        <x:v>06-Oct</x:v>
      </x:c>
      <x:c r="G15" s="46" t="n">
        <x:f>Estimate!$E$64-B15</x:f>
        <x:v>91</x:v>
      </x:c>
      <x:c r="H15" s="46" t="str">
        <x:f>IF(C15="","",Estimate!$E$64-C15)</x:f>
      </x:c>
      <x:c r="I15" s="46" t="n">
        <x:f>Estimate!$E$64</x:f>
        <x:v>128</x:v>
      </x:c>
    </x:row>
    <x:row r="16" ht="16.799999237060547">
      <x:c r="A16" s="44" t="str">
        <x:v>07-Oct</x:v>
      </x:c>
      <x:c r="B16" s="45" t="n">
        <x:f>Estimate!R$64</x:f>
        <x:v>16</x:v>
      </x:c>
      <x:c r="C16" s="114" t="str">
        <x:f>IF(Actual!R$64="","",Actual!R$64)</x:f>
      </x:c>
      <x:c r="D16" s="46" t="n">
        <x:f>MAX(0,Estimate!$E$64*(1-(12/13)))</x:f>
        <x:v>9.84615384615384</x:v>
      </x:c>
      <x:c r="F16" s="48" t="str">
        <x:v>07-Oct</x:v>
      </x:c>
      <x:c r="G16" s="46" t="n">
        <x:f>Estimate!$E$64-B16</x:f>
        <x:v>112</x:v>
      </x:c>
      <x:c r="H16" s="46" t="str">
        <x:f>IF(C16="","",Estimate!$E$64-C16)</x:f>
      </x:c>
      <x:c r="I16" s="46" t="n">
        <x:f>Estimate!$E$64</x:f>
        <x:v>128</x:v>
      </x:c>
    </x:row>
    <x:row r="17" ht="16.799999237060547">
      <x:c r="A17" s="44" t="str">
        <x:v>08-Oct</x:v>
      </x:c>
      <x:c r="B17" s="45" t="n">
        <x:f>Estimate!S$64</x:f>
        <x:v>0</x:v>
      </x:c>
      <x:c r="C17" s="114" t="str">
        <x:f>IF(Actual!S$64="","",Actual!S$64)</x:f>
      </x:c>
      <x:c r="D17" s="46" t="n">
        <x:f>MAX(0,Estimate!$E$64*(1-(13/13)))</x:f>
        <x:v>0</x:v>
      </x:c>
      <x:c r="F17" s="48" t="str">
        <x:v>08-Oct</x:v>
      </x:c>
      <x:c r="G17" s="46" t="n">
        <x:f>Estimate!$E$64-B17</x:f>
        <x:v>128</x:v>
      </x:c>
      <x:c r="H17" s="46" t="str">
        <x:f>IF(C17="","",Estimate!$E$64-C17)</x:f>
      </x:c>
      <x:c r="I17" s="46" t="n">
        <x:f>Estimate!$E$64</x:f>
        <x:v>128</x:v>
      </x:c>
    </x:row>
    <x:row r="18">
      <x:c r="A18"/>
    </x:row>
    <x:row r="19">
      <x:c r="A19"/>
    </x:row>
    <x:row r="20">
      <x:c r="A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1">
      <x:c r="A31"/>
    </x:row>
    <x:row r="32">
      <x:c r="A32"/>
    </x:row>
    <x:row r="33">
      <x:c r="A33"/>
    </x:row>
    <x:row r="34">
      <x:c r="A34"/>
    </x:row>
  </x:sheetData>
  <x:mergeCells>
    <x:mergeCell ref="A1:P1"/>
  </x:mergeCells>
  <x:pageMargins left="0.7" right="0.7" top="0.75" bottom="0.75" header="0.3" footer="0.3"/>
  <x:drawing xmlns:r="http://schemas.openxmlformats.org/officeDocument/2006/relationships" r:id="R31cda8fb13f446dd"/>
  <x:extLst>
    <x:ext xmlns:x14="http://schemas.microsoft.com/office/spreadsheetml/2009/9/main" xmlns:xm="http://schemas.microsoft.com/office/excel/2006/main" uri="{05C60535-1F16-4fd2-B633-F4F36F0B64E0}">
      <x14:sparklineGroups>
        <x14:sparklineGroup type="line" displayEmptyCellsAs="gap" xr2:uid="{00E988FA-BA54-442F-A2FB-472E5DE2167E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Chart!B5:B5</xm:f>
              <xm:sqref>E4</xm:sqref>
            </x14:sparkline>
          </x14:sparklines>
        </x14:sparklineGroup>
      </x14:sparklineGroups>
    </x:ext>
  </x:extLst>
</x:worksheet>
</file>